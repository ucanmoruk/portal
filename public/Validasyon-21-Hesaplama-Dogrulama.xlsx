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apak" state="visible" r:id="rId4"/>
    <sheet sheetId="2" name="2. LOD-LOQ" state="visible" r:id="rId5"/>
    <sheet sheetId="3" name="3. Doğrusallık" state="visible" r:id="rId6"/>
    <sheet sheetId="4" name="4. Tekrarlanabilirlik" state="visible" r:id="rId7"/>
    <sheet sheetId="5" name="5. Tekrarüretilebilirlik" state="visible" r:id="rId8"/>
    <sheet sheetId="6" name="6. Gerçeklik" state="visible" r:id="rId9"/>
    <sheet sheetId="7" name="7. Belirsizlik" state="visible" r:id="rId10"/>
    <sheet sheetId="8" name="8. Grubbs Tablosu" state="visible" r:id="rId11"/>
    <sheet sheetId="9" name="9. Eurachem Uygunluk" state="visible" r:id="rId12"/>
  </sheets>
  <calcPr calcId="171027"/>
</workbook>
</file>

<file path=xl/sharedStrings.xml><?xml version="1.0" encoding="utf-8"?>
<sst xmlns="http://schemas.openxmlformats.org/spreadsheetml/2006/main" count="1006" uniqueCount="597">
  <si>
    <t>VALİDASYON HESAPLAMA DOĞRULAMA RAPORU</t>
  </si>
  <si>
    <t>Validasyon Kodu</t>
  </si>
  <si>
    <t>K.SOP.05-Ek.1</t>
  </si>
  <si>
    <t>Validasyon Başlığı</t>
  </si>
  <si>
    <t>DMFu Tayini Validasyonu</t>
  </si>
  <si>
    <t>Metot</t>
  </si>
  <si>
    <t>DMFu Tayini</t>
  </si>
  <si>
    <t>Metot Kodu</t>
  </si>
  <si>
    <t>K.SOP.05</t>
  </si>
  <si>
    <t>Teknik</t>
  </si>
  <si>
    <t>ISO 16186:2021</t>
  </si>
  <si>
    <t>Matriks (metot)</t>
  </si>
  <si>
    <t>Ayakkabı</t>
  </si>
  <si>
    <t>Çalışma Tipi</t>
  </si>
  <si>
    <t>VERIFICATION</t>
  </si>
  <si>
    <t>Durum</t>
  </si>
  <si>
    <t>COMPLETED</t>
  </si>
  <si>
    <t>Komponentler</t>
  </si>
  <si>
    <t>Fumaric acid, bis-mehyl ester (DMFu); Maleic acid, bis-methyl ester (DMMa)</t>
  </si>
  <si>
    <t>Personel</t>
  </si>
  <si>
    <t>Ali Berkan Akdoğan; Efsu Nur Akyol</t>
  </si>
  <si>
    <t>Aktif Validasyon Parametreleri</t>
  </si>
  <si>
    <t>Doğrusallık (Linearity), LOD (Tespit Limiti) ve LOQ (Tayini Limiti), Kesinlik (Tekrarlanabilirlik), Gerçeklik (Bias / Geri Kazanım), Kesinlik (Tekrarüretilebilirlik)</t>
  </si>
  <si>
    <t>Doküman Üretim Tarihi</t>
  </si>
  <si>
    <t>2026-05-31</t>
  </si>
  <si>
    <t>AMAÇ</t>
  </si>
  <si>
    <t>Bu dosya, ÜGD Portal Eurolab Validasyon ekranındaki (Validasyon ID = 21) tüm</t>
  </si>
  <si>
    <t>istatistiksel hesaplamaların doğruluğunu denetim/akreditasyon süreçlerine kanıt</t>
  </si>
  <si>
    <t>olarak sunmak amacıyla, kaynak kod algoritmaları baz alınarak hazırlanmıştır.</t>
  </si>
  <si>
    <t/>
  </si>
  <si>
    <t>HER SAYFADA:</t>
  </si>
  <si>
    <t xml:space="preserve">  1) Bölümün TEORİK FORMÜLÜ (matematik notasyonu)</t>
  </si>
  <si>
    <t xml:space="preserve">  2) Validasyon 21'in GİRİŞ VERİLERİ (sistemde girilmiş ham veriler)</t>
  </si>
  <si>
    <t xml:space="preserve">  3) Excel HÜCRE FORMÜLÜ ile adım adım hesap (denetçi hücreye tıklayarak doğrulayabilir)</t>
  </si>
  <si>
    <t xml:space="preserve">  4) Sistemin verdiği SONUÇ ile karşılaştırma (Fark sütunu ≈ 0 olmalı)</t>
  </si>
  <si>
    <t>REFERANSLAR</t>
  </si>
  <si>
    <t xml:space="preserve">  • ISO 5725-2: Tekrarlanabilirlik ve Tekrarüretilebilirlik (r = 2.83·Sr)</t>
  </si>
  <si>
    <t xml:space="preserve">  • ISO/IEC Guide 98-3 (GUM): Belirsizlik bütçesi (k=2, %95)</t>
  </si>
  <si>
    <t xml:space="preserve">  • IUPAC / ICH Q2(R1): LOD/LOQ — μ + 3σ / μ + 10σ yaklaşımı</t>
  </si>
  <si>
    <t xml:space="preserve">  • AOAC Peer Verified Methods Program: Geri kazanım kabul aralıkları</t>
  </si>
  <si>
    <t xml:space="preserve">  • Eurochem Guide CG 4: Recovery limit tablosu</t>
  </si>
  <si>
    <t>İÇİNDEKİLER</t>
  </si>
  <si>
    <t>Sayfa 2</t>
  </si>
  <si>
    <t>LOD ve LOQ — Tespit / Tayin Limiti</t>
  </si>
  <si>
    <t>Sayfa 3</t>
  </si>
  <si>
    <t>Doğrusallık (Linearity) — En Küçük Kareler Regresyonu</t>
  </si>
  <si>
    <t>Sayfa 4</t>
  </si>
  <si>
    <t>Tekrarlanabilirlik — Sr, RSDr, r, Havuzlanmış RSD + Grubbs</t>
  </si>
  <si>
    <t>Sayfa 5</t>
  </si>
  <si>
    <t>Tekrarüretilebilirlik — Pooled RSD + F-testi + Grubbs</t>
  </si>
  <si>
    <t>Sayfa 6</t>
  </si>
  <si>
    <t>Gerçeklik (Trueness) — Recovery%, Bias, U(Bias), t-testi + Grubbs</t>
  </si>
  <si>
    <t>Sayfa 7</t>
  </si>
  <si>
    <t>Ölçüm Belirsizliği (GUM) — Birleşik (uc) ve Genişletilmiş (U)</t>
  </si>
  <si>
    <t>Sayfa 8</t>
  </si>
  <si>
    <t>Grubbs Kritik Değer Tablosu (α=0.05, n=3-30)</t>
  </si>
  <si>
    <t>Sayfa 9</t>
  </si>
  <si>
    <t>Eurachem Rehber Uygunluk Değerlendirmesi</t>
  </si>
  <si>
    <t>LOD / LOQ — TESPİT VE TAYİN LİMİTİ HESAPLAMASI</t>
  </si>
  <si>
    <t>TEORİK FORMÜL (Kaynak: components/validation/modules/LodCalculationForm.tsx, satır 90-119)</t>
  </si>
  <si>
    <t xml:space="preserve">  Ortalama μ = Σx / n                              (n = toplam ölçüm sayısı)</t>
  </si>
  <si>
    <t xml:space="preserve">  Standart Sapma σ = √[ Σ(xi − μ)² / (n − 1) ]      (Bessel düzeltmesi)</t>
  </si>
  <si>
    <t xml:space="preserve">  LOD (Tespit Limiti) = μ + 3·σ</t>
  </si>
  <si>
    <t xml:space="preserve">  LOQ (Tayin Limiti) = μ + 10·σ</t>
  </si>
  <si>
    <t xml:space="preserve">  NOT: 2 personel × 10 tekrar = toplam 20 ölçüm. Tüm değerler tek havuzda birleştirilir.</t>
  </si>
  <si>
    <t>KOMPONENT: Fumaric acid, bis-mehyl ester (DMFu)   |   Birim: mg_L</t>
  </si>
  <si>
    <t>Notlar: Tayin ve Tespit Limiti çalışmaları için 2 personel tarafından lineerite aralığının en düşük noktasında 10'ar adet spike test numunesi çalışılmıştır. Elde edilen ölçüm değerlerinin ortalamaları ve standart sapmaları hesaplanmış, ortalamaya standart sa</t>
  </si>
  <si>
    <t>No</t>
  </si>
  <si>
    <t>Ali Berkan Akdoğan</t>
  </si>
  <si>
    <t>Efsu Nur Akyol</t>
  </si>
  <si>
    <t>Hesap</t>
  </si>
  <si>
    <t>Excel Formülü (denetçi: hücreye tıklayın)</t>
  </si>
  <si>
    <t>Hesap Sonucu</t>
  </si>
  <si>
    <t>Sistem Sonucu</t>
  </si>
  <si>
    <t>Fark</t>
  </si>
  <si>
    <t>n (toplam ölçüm)</t>
  </si>
  <si>
    <t>Ortalama μ = AVERAGE(...)</t>
  </si>
  <si>
    <t>=AVERAGE(B14:C23)</t>
  </si>
  <si>
    <t>Standart Sapma σ = STDEV(...)</t>
  </si>
  <si>
    <t>=STDEV(B14:C23)</t>
  </si>
  <si>
    <t>LOD = μ + 3·σ</t>
  </si>
  <si>
    <t>=AVERAGE(B14:C23)+3*STDEV(B14:C23)</t>
  </si>
  <si>
    <t>LOQ = μ + 10·σ</t>
  </si>
  <si>
    <t>=AVERAGE(B14:C23)+10*STDEV(B14:C23)</t>
  </si>
  <si>
    <t>KOMPONENT: Maleic acid, bis-methyl ester (DMMa)   |   Birim: mg_L</t>
  </si>
  <si>
    <t>=AVERAGE(B37:C46)</t>
  </si>
  <si>
    <t>=STDEV(B37:C46)</t>
  </si>
  <si>
    <t>=AVERAGE(B37:C46)+3*STDEV(B37:C46)</t>
  </si>
  <si>
    <t>=AVERAGE(B37:C46)+10*STDEV(B37:C46)</t>
  </si>
  <si>
    <t>DOĞRUSALLIK (LINEARITY) — EN KÜÇÜK KARELER REGRESYONU</t>
  </si>
  <si>
    <t>TEORİK FORMÜLLER (Kaynak: LinearityCalculationForm.tsx)</t>
  </si>
  <si>
    <t xml:space="preserve">  Eğim b1 = (n·ΣXY − ΣX·ΣY) / (n·ΣX² − (ΣX)²)         (Excel: =SLOPE(Y;X))</t>
  </si>
  <si>
    <t xml:space="preserve">  Kesim a = (ΣY − b1·ΣX) / n                            (Excel: =INTERCEPT(Y;X))</t>
  </si>
  <si>
    <t xml:space="preserve">  Korelasyon r = (n·ΣXY − ΣX·ΣY) / √[(n·ΣX²−(ΣX)²)(n·ΣY²−(ΣY)²)]   (Excel: =PEARSON(X;Y))</t>
  </si>
  <si>
    <t xml:space="preserve">  R² = r²                                                (Excel: =RSQ(Y;X))</t>
  </si>
  <si>
    <t xml:space="preserve">  Tahmin ŷ = b1·x + a</t>
  </si>
  <si>
    <t xml:space="preserve">  Hata sapma s = √[ Σ(y − ŷ)² / (n − 2) ]               (Excel: =STEYX(Y;X))</t>
  </si>
  <si>
    <t xml:space="preserve">  U(Co) = (s/b1)·√(1/p + 1/(n·p) + (Co − x̄)²/Sxx)       (p=3, lab konvansiyonu)</t>
  </si>
  <si>
    <t xml:space="preserve">  Sxx = Σ(xi − x̄)² (türetilmiş xi üzerinden)</t>
  </si>
  <si>
    <t>KOMPONENT: Fumaric acid, bis-mehyl ester (DMFu)   |   Birim: mg_L   |   Çalışma aralığı: 0.01 - 0.25 mg/L</t>
  </si>
  <si>
    <t>Seviye</t>
  </si>
  <si>
    <t>X (Konsantrasyon)</t>
  </si>
  <si>
    <t>Y (Cevap)</t>
  </si>
  <si>
    <t>ŷ Tahmin</t>
  </si>
  <si>
    <t>Residual (Y−ŷ)</t>
  </si>
  <si>
    <t>(Y−ŷ)²</t>
  </si>
  <si>
    <t>L1</t>
  </si>
  <si>
    <t>L2</t>
  </si>
  <si>
    <t>L3</t>
  </si>
  <si>
    <t>L4</t>
  </si>
  <si>
    <t>L5</t>
  </si>
  <si>
    <t>L6</t>
  </si>
  <si>
    <t>Excel Formülü</t>
  </si>
  <si>
    <t>n (nokta sayısı)</t>
  </si>
  <si>
    <t>=COUNT(B16:B21)</t>
  </si>
  <si>
    <t>Slope b1 = SLOPE(Y;X)</t>
  </si>
  <si>
    <t>=SLOPE(C16:C21,B16:B21)</t>
  </si>
  <si>
    <t>Intercept a = INTERCEPT(Y;X)</t>
  </si>
  <si>
    <t>=INTERCEPT(C16:C21,B16:B21)</t>
  </si>
  <si>
    <t>Korelasyon r = PEARSON(X;Y)</t>
  </si>
  <si>
    <t>=PEARSON(B16:B21,C16:C21)</t>
  </si>
  <si>
    <t>R² = RSQ(Y;X)</t>
  </si>
  <si>
    <t>=RSQ(C16:C21,B16:B21)</t>
  </si>
  <si>
    <t>Hata Std s = STEYX(Y;X)</t>
  </si>
  <si>
    <t>=STEYX(C16:C21,B16:B21)</t>
  </si>
  <si>
    <t>Co = MAX(X)</t>
  </si>
  <si>
    <t>=MAX(B16:B21)</t>
  </si>
  <si>
    <t>Cort (x̄) = AVERAGE(X)</t>
  </si>
  <si>
    <t>=AVERAGE(B16:B21)</t>
  </si>
  <si>
    <t>Σ(Y−ŷ)² (Residual Sum of Squares)</t>
  </si>
  <si>
    <t>=SUM(F16:F21)</t>
  </si>
  <si>
    <t>Denklem</t>
  </si>
  <si>
    <t>y = 132293.2984x - 933.1511</t>
  </si>
  <si>
    <t>U(Co) — sistem hesabı</t>
  </si>
  <si>
    <t>Sxx — sistem hesabı</t>
  </si>
  <si>
    <t>KOMPONENT: Maleic acid, bis-methyl ester (DMMa)   |   Birim: mg_L   |   Çalışma aralığı: 0.01 - 0.25 mg/L</t>
  </si>
  <si>
    <t>=COUNT(B41:B46)</t>
  </si>
  <si>
    <t>=SLOPE(C41:C46,B41:B46)</t>
  </si>
  <si>
    <t>=INTERCEPT(C41:C46,B41:B46)</t>
  </si>
  <si>
    <t>=PEARSON(B41:B46,C41:C46)</t>
  </si>
  <si>
    <t>=RSQ(C41:C46,B41:B46)</t>
  </si>
  <si>
    <t>=STEYX(C41:C46,B41:B46)</t>
  </si>
  <si>
    <t>=MAX(B41:B46)</t>
  </si>
  <si>
    <t>=AVERAGE(B41:B46)</t>
  </si>
  <si>
    <t>=SUM(F41:F46)</t>
  </si>
  <si>
    <t>y = 197348.2871x - 678.2830</t>
  </si>
  <si>
    <t>TEKRARLANABİLİRLİK (REPEATABILITY) — Sr, RSDr, r, HAVUZLANMIŞ RSD</t>
  </si>
  <si>
    <t>TEORİK FORMÜLLER (Kaynak: PrecisionRepeatabilityForm.tsx)</t>
  </si>
  <si>
    <t xml:space="preserve">  Personel başına:</t>
  </si>
  <si>
    <t xml:space="preserve">    x̄ = Σx / n</t>
  </si>
  <si>
    <t xml:space="preserve">    Sr = √[ Σ(xi − x̄)² / (n−1) ]</t>
  </si>
  <si>
    <t xml:space="preserve">    RSDr = Sr / x̄</t>
  </si>
  <si>
    <t xml:space="preserve">    r (tekrarlanabilirlik limiti) = 2.83 · Sr      (ISO 5725, ≈ 2√2)</t>
  </si>
  <si>
    <t xml:space="preserve">    Pool katkısı = RSDr² · (n − 1)</t>
  </si>
  <si>
    <t xml:space="preserve">  Havuzlanmış RSD (her düzey için):</t>
  </si>
  <si>
    <t xml:space="preserve">    RSDpool = √[ Σ(RSDr² · (n−1)) / Σ(n−1) ]</t>
  </si>
  <si>
    <t xml:space="preserve">  Uygunluk: |paralel1 − paralel2| &lt; r ise UYGUN.</t>
  </si>
  <si>
    <t>KOMPONENT: Fumaric acid, bis-mehyl ester (DMFu)   |   Birim: mg_kg</t>
  </si>
  <si>
    <t>DÜZEY: Düşük Seviye   |   Matriks: Tekstil   |   Hedef: 0,5</t>
  </si>
  <si>
    <t>Ali Berkan Akdoğan - Par.1</t>
  </si>
  <si>
    <t>Ali Berkan Akdoğan - Par.2</t>
  </si>
  <si>
    <t>Efsu Nur Akyol - Par.1</t>
  </si>
  <si>
    <t>Efsu Nur Akyol - Par.2</t>
  </si>
  <si>
    <t>Sistem</t>
  </si>
  <si>
    <t>── Ali Berkan Akdoğan ──</t>
  </si>
  <si>
    <t>n</t>
  </si>
  <si>
    <t>=COUNT(B18:C23)</t>
  </si>
  <si>
    <t>x̄ = AVERAGE(...)</t>
  </si>
  <si>
    <t>=AVERAGE(B18:C23)</t>
  </si>
  <si>
    <t>Sr = STDEV(...)</t>
  </si>
  <si>
    <t>=STDEV(B18:C23)</t>
  </si>
  <si>
    <t>RSDr = Sr/x̄</t>
  </si>
  <si>
    <t>=STDEV(B18:C23)/AVERAGE(B18:C23)</t>
  </si>
  <si>
    <t>r = 2.83·Sr</t>
  </si>
  <si>
    <t>=2.83*STDEV(B18:C23)</t>
  </si>
  <si>
    <t>Pool katkısı = RSDr²·(n−1)</t>
  </si>
  <si>
    <t>=((STDEV(B18:C23)/AVERAGE(B18:C23))^2)*(COUNT(B18:C23)-1)</t>
  </si>
  <si>
    <t>── GRUBBS AYKIRI DEĞER TESTİ (Ali Berkan Akdoğan) (α=0.05) ──</t>
  </si>
  <si>
    <t>En uç değer (|x_i − x̄|max)</t>
  </si>
  <si>
    <t>=MAX(MAX(B18:C23)-AVERAGE(B18:C23),AVERAGE(B18:C23)-MIN(B18:C23))</t>
  </si>
  <si>
    <t>s = STDEV(...)</t>
  </si>
  <si>
    <t>G_hesap = |x_i − x̄|max / s</t>
  </si>
  <si>
    <t>=MAX(MAX(B18:C23)-AVERAGE(B18:C23),AVERAGE(B18:C23)-MIN(B18:C23))/STDEV(B18:C23)</t>
  </si>
  <si>
    <t>n = COUNT(...)</t>
  </si>
  <si>
    <t>G_kritik (α=0.05, tablo)</t>
  </si>
  <si>
    <t>=IFERROR(VLOOKUP(C38,'8. Grubbs Tablosu'!A2:B30,2,FALSE),2.745)</t>
  </si>
  <si>
    <t>Karar: G_hesap &gt; G_kritik ⇒ AYKIRI VAR</t>
  </si>
  <si>
    <t>=IF((MAX(MAX(B18:C23)-AVERAGE(B18:C23),AVERAGE(B18:C23)-MIN(B18:C23))/STDEV(B18:C23))&gt;C39,"AYKIRI VAR (değeri inceleyin)","AYKIRI YOK (veri kabul)")</t>
  </si>
  <si>
    <t>AYKIRI YOK</t>
  </si>
  <si>
    <t>── Efsu Nur Akyol ──</t>
  </si>
  <si>
    <t>=COUNT(D18:E23)</t>
  </si>
  <si>
    <t>x̄</t>
  </si>
  <si>
    <t>=AVERAGE(D18:E23)</t>
  </si>
  <si>
    <t>Sr</t>
  </si>
  <si>
    <t>=STDEV(D18:E23)</t>
  </si>
  <si>
    <t>RSDr</t>
  </si>
  <si>
    <t>=STDEV(D18:E23)/AVERAGE(D18:E23)</t>
  </si>
  <si>
    <t>=2.83*STDEV(D18:E23)</t>
  </si>
  <si>
    <t>Pool katkısı</t>
  </si>
  <si>
    <t>=((STDEV(D18:E23)/AVERAGE(D18:E23))^2)*(COUNT(D18:E23)-1)</t>
  </si>
  <si>
    <t>── GRUBBS AYKIRI DEĞER TESTİ (Efsu Nur Akyol) (α=0.05) ──</t>
  </si>
  <si>
    <t>=MAX(MAX(D18:E23)-AVERAGE(D18:E23),AVERAGE(D18:E23)-MIN(D18:E23))</t>
  </si>
  <si>
    <t>=MAX(MAX(D18:E23)-AVERAGE(D18:E23),AVERAGE(D18:E23)-MIN(D18:E23))/STDEV(D18:E23)</t>
  </si>
  <si>
    <t>=IFERROR(VLOOKUP(C54,'8. Grubbs Tablosu'!A2:B30,2,FALSE),2.745)</t>
  </si>
  <si>
    <t>=IF((MAX(MAX(D18:E23)-AVERAGE(D18:E23),AVERAGE(D18:E23)-MIN(D18:E23))/STDEV(D18:E23))&gt;C55,"AYKIRI VAR (değeri inceleyin)","AYKIRI YOK (veri kabul)")</t>
  </si>
  <si>
    <t>── HAVUZLANMIŞ RSD (her iki personel) ──</t>
  </si>
  <si>
    <t>RSDpool = √[Σ(RSDr²·(n−1)) / Σ(n−1)]</t>
  </si>
  <si>
    <t>=SQRT((C32+C48)/((C27-1)+(C43-1)))</t>
  </si>
  <si>
    <t>DÜZEY: Yüksek Seviye   |   Matriks: Silikajel   |   Hedef: 1</t>
  </si>
  <si>
    <t>=COUNT(B64:C69)</t>
  </si>
  <si>
    <t>=AVERAGE(B64:C69)</t>
  </si>
  <si>
    <t>=STDEV(B64:C69)</t>
  </si>
  <si>
    <t>=STDEV(B64:C69)/AVERAGE(B64:C69)</t>
  </si>
  <si>
    <t>=2.83*STDEV(B64:C69)</t>
  </si>
  <si>
    <t>=((STDEV(B64:C69)/AVERAGE(B64:C69))^2)*(COUNT(B64:C69)-1)</t>
  </si>
  <si>
    <t>=MAX(MAX(B64:C69)-AVERAGE(B64:C69),AVERAGE(B64:C69)-MIN(B64:C69))</t>
  </si>
  <si>
    <t>=MAX(MAX(B64:C69)-AVERAGE(B64:C69),AVERAGE(B64:C69)-MIN(B64:C69))/STDEV(B64:C69)</t>
  </si>
  <si>
    <t>=IFERROR(VLOOKUP(C84,'8. Grubbs Tablosu'!A2:B30,2,FALSE),2.745)</t>
  </si>
  <si>
    <t>=IF((MAX(MAX(B64:C69)-AVERAGE(B64:C69),AVERAGE(B64:C69)-MIN(B64:C69))/STDEV(B64:C69))&gt;C85,"AYKIRI VAR (değeri inceleyin)","AYKIRI YOK (veri kabul)")</t>
  </si>
  <si>
    <t>=COUNT(D64:E69)</t>
  </si>
  <si>
    <t>=AVERAGE(D64:E69)</t>
  </si>
  <si>
    <t>=STDEV(D64:E69)</t>
  </si>
  <si>
    <t>=STDEV(D64:E69)/AVERAGE(D64:E69)</t>
  </si>
  <si>
    <t>=2.83*STDEV(D64:E69)</t>
  </si>
  <si>
    <t>=((STDEV(D64:E69)/AVERAGE(D64:E69))^2)*(COUNT(D64:E69)-1)</t>
  </si>
  <si>
    <t>=MAX(MAX(D64:E69)-AVERAGE(D64:E69),AVERAGE(D64:E69)-MIN(D64:E69))</t>
  </si>
  <si>
    <t>=MAX(MAX(D64:E69)-AVERAGE(D64:E69),AVERAGE(D64:E69)-MIN(D64:E69))/STDEV(D64:E69)</t>
  </si>
  <si>
    <t>=IFERROR(VLOOKUP(C100,'8. Grubbs Tablosu'!A2:B30,2,FALSE),2.745)</t>
  </si>
  <si>
    <t>=IF((MAX(MAX(D64:E69)-AVERAGE(D64:E69),AVERAGE(D64:E69)-MIN(D64:E69))/STDEV(D64:E69))&gt;C101,"AYKIRI VAR (değeri inceleyin)","AYKIRI YOK (veri kabul)")</t>
  </si>
  <si>
    <t>=SQRT((C78+C94)/((C73-1)+(C89-1)))</t>
  </si>
  <si>
    <t>KOMPONENT: Maleic acid, bis-methyl ester (DMMa)   |   Birim: mg_kg</t>
  </si>
  <si>
    <t>DÜZEY: Düşük Seviye   |   Matriks: —   |   Hedef: 0,5</t>
  </si>
  <si>
    <t>=COUNT(B112:C117)</t>
  </si>
  <si>
    <t>=AVERAGE(B112:C117)</t>
  </si>
  <si>
    <t>=STDEV(B112:C117)</t>
  </si>
  <si>
    <t>=STDEV(B112:C117)/AVERAGE(B112:C117)</t>
  </si>
  <si>
    <t>=2.83*STDEV(B112:C117)</t>
  </si>
  <si>
    <t>=((STDEV(B112:C117)/AVERAGE(B112:C117))^2)*(COUNT(B112:C117)-1)</t>
  </si>
  <si>
    <t>=MAX(MAX(B112:C117)-AVERAGE(B112:C117),AVERAGE(B112:C117)-MIN(B112:C117))</t>
  </si>
  <si>
    <t>=MAX(MAX(B112:C117)-AVERAGE(B112:C117),AVERAGE(B112:C117)-MIN(B112:C117))/STDEV(B112:C117)</t>
  </si>
  <si>
    <t>=IFERROR(VLOOKUP(C132,'8. Grubbs Tablosu'!A2:B30,2,FALSE),2.745)</t>
  </si>
  <si>
    <t>=IF((MAX(MAX(B112:C117)-AVERAGE(B112:C117),AVERAGE(B112:C117)-MIN(B112:C117))/STDEV(B112:C117))&gt;C133,"AYKIRI VAR (değeri inceleyin)","AYKIRI YOK (veri kabul)")</t>
  </si>
  <si>
    <t>=COUNT(D112:E117)</t>
  </si>
  <si>
    <t>=AVERAGE(D112:E117)</t>
  </si>
  <si>
    <t>=STDEV(D112:E117)</t>
  </si>
  <si>
    <t>=STDEV(D112:E117)/AVERAGE(D112:E117)</t>
  </si>
  <si>
    <t>=2.83*STDEV(D112:E117)</t>
  </si>
  <si>
    <t>=((STDEV(D112:E117)/AVERAGE(D112:E117))^2)*(COUNT(D112:E117)-1)</t>
  </si>
  <si>
    <t>=MAX(MAX(D112:E117)-AVERAGE(D112:E117),AVERAGE(D112:E117)-MIN(D112:E117))</t>
  </si>
  <si>
    <t>=MAX(MAX(D112:E117)-AVERAGE(D112:E117),AVERAGE(D112:E117)-MIN(D112:E117))/STDEV(D112:E117)</t>
  </si>
  <si>
    <t>=IFERROR(VLOOKUP(C148,'8. Grubbs Tablosu'!A2:B30,2,FALSE),2.745)</t>
  </si>
  <si>
    <t>=IF((MAX(MAX(D112:E117)-AVERAGE(D112:E117),AVERAGE(D112:E117)-MIN(D112:E117))/STDEV(D112:E117))&gt;C149,"AYKIRI VAR (değeri inceleyin)","AYKIRI YOK (veri kabul)")</t>
  </si>
  <si>
    <t>=SQRT((C126+C142)/((C121-1)+(C137-1)))</t>
  </si>
  <si>
    <t>DÜZEY: Yüksek Seviye   |   Matriks: —   |   Hedef: 1</t>
  </si>
  <si>
    <t>=COUNT(B158:C163)</t>
  </si>
  <si>
    <t>=AVERAGE(B158:C163)</t>
  </si>
  <si>
    <t>=STDEV(B158:C163)</t>
  </si>
  <si>
    <t>=STDEV(B158:C163)/AVERAGE(B158:C163)</t>
  </si>
  <si>
    <t>=2.83*STDEV(B158:C163)</t>
  </si>
  <si>
    <t>=((STDEV(B158:C163)/AVERAGE(B158:C163))^2)*(COUNT(B158:C163)-1)</t>
  </si>
  <si>
    <t>=MAX(MAX(B158:C163)-AVERAGE(B158:C163),AVERAGE(B158:C163)-MIN(B158:C163))</t>
  </si>
  <si>
    <t>=MAX(MAX(B158:C163)-AVERAGE(B158:C163),AVERAGE(B158:C163)-MIN(B158:C163))/STDEV(B158:C163)</t>
  </si>
  <si>
    <t>=IFERROR(VLOOKUP(C178,'8. Grubbs Tablosu'!A2:B30,2,FALSE),2.745)</t>
  </si>
  <si>
    <t>=IF((MAX(MAX(B158:C163)-AVERAGE(B158:C163),AVERAGE(B158:C163)-MIN(B158:C163))/STDEV(B158:C163))&gt;C179,"AYKIRI VAR (değeri inceleyin)","AYKIRI YOK (veri kabul)")</t>
  </si>
  <si>
    <t>=COUNT(D158:E163)</t>
  </si>
  <si>
    <t>=AVERAGE(D158:E163)</t>
  </si>
  <si>
    <t>=STDEV(D158:E163)</t>
  </si>
  <si>
    <t>=STDEV(D158:E163)/AVERAGE(D158:E163)</t>
  </si>
  <si>
    <t>=2.83*STDEV(D158:E163)</t>
  </si>
  <si>
    <t>=((STDEV(D158:E163)/AVERAGE(D158:E163))^2)*(COUNT(D158:E163)-1)</t>
  </si>
  <si>
    <t>=MAX(MAX(D158:E163)-AVERAGE(D158:E163),AVERAGE(D158:E163)-MIN(D158:E163))</t>
  </si>
  <si>
    <t>=MAX(MAX(D158:E163)-AVERAGE(D158:E163),AVERAGE(D158:E163)-MIN(D158:E163))/STDEV(D158:E163)</t>
  </si>
  <si>
    <t>=IFERROR(VLOOKUP(C194,'8. Grubbs Tablosu'!A2:B30,2,FALSE),2.745)</t>
  </si>
  <si>
    <t>=IF((MAX(MAX(D158:E163)-AVERAGE(D158:E163),AVERAGE(D158:E163)-MIN(D158:E163))/STDEV(D158:E163))&gt;C195,"AYKIRI VAR (değeri inceleyin)","AYKIRI YOK (veri kabul)")</t>
  </si>
  <si>
    <t>=SQRT((C172+C188)/((C167-1)+(C183-1)))</t>
  </si>
  <si>
    <t>TEKRARÜRETİLEBİLİRLİK — POOLED RSD ve F-TESTİ</t>
  </si>
  <si>
    <t>TEORİK FORMÜLLER (Kaynak: PrecisionReproducibilityForm.tsx)</t>
  </si>
  <si>
    <t xml:space="preserve">  Personel başına: x̄, Sr, RSDr (tekrarlanabilirlik ile aynı formüller).</t>
  </si>
  <si>
    <t xml:space="preserve">  RSDpool = √[ Σ(RSDr² · (n−1)) / Σ(n−1) ]</t>
  </si>
  <si>
    <t xml:space="preserve">  F-testi (kişiler arası varyans homojenliği):</t>
  </si>
  <si>
    <t xml:space="preserve">    Fhesap = s²(max) / s²(min)</t>
  </si>
  <si>
    <t xml:space="preserve">    Fkritik = F(α=0.05; df1=n_max−1; df2=n_min−1)        (Excel: =F.INV.RT(0.05;df1;df2))</t>
  </si>
  <si>
    <t xml:space="preserve">    Karar: Fhesap &lt; Fkritik ⇒ UYGUN</t>
  </si>
  <si>
    <t xml:space="preserve">  r = 2.83 · Sr</t>
  </si>
  <si>
    <t>Tarih</t>
  </si>
  <si>
    <t>2025-10-06</t>
  </si>
  <si>
    <t>2025-10-07</t>
  </si>
  <si>
    <t>2025-10-08</t>
  </si>
  <si>
    <t>2025-10-09</t>
  </si>
  <si>
    <t>2025-10-10</t>
  </si>
  <si>
    <t>2025-10-11</t>
  </si>
  <si>
    <t>=COUNT(C15:C20)</t>
  </si>
  <si>
    <t>=AVERAGE(C15:C20)</t>
  </si>
  <si>
    <t>=STDEV(C15:C20)</t>
  </si>
  <si>
    <t>Varyans s² = VAR(...)</t>
  </si>
  <si>
    <t>=VAR(C15:C20)</t>
  </si>
  <si>
    <t>=STDEV(C15:C20)/AVERAGE(C15:C20)</t>
  </si>
  <si>
    <t>=2.83*STDEV(C15:C20)</t>
  </si>
  <si>
    <t>=((STDEV(C15:C20)/AVERAGE(C15:C20))^2)*(COUNT(C15:C20)-1)</t>
  </si>
  <si>
    <t>=MAX(MAX(C15:C20)-AVERAGE(C15:C20),AVERAGE(C15:C20)-MIN(C15:C20))</t>
  </si>
  <si>
    <t>=MAX(MAX(C15:C20)-AVERAGE(C15:C20),AVERAGE(C15:C20)-MIN(C15:C20))/STDEV(C15:C20)</t>
  </si>
  <si>
    <t>=IFERROR(VLOOKUP(C36,'8. Grubbs Tablosu'!A2:B30,2,FALSE),2.745)</t>
  </si>
  <si>
    <t>=IF((MAX(MAX(C15:C20)-AVERAGE(C15:C20),AVERAGE(C15:C20)-MIN(C15:C20))/STDEV(C15:C20))&gt;C37,"AYKIRI VAR (değeri inceleyin)","AYKIRI YOK (veri kabul)")</t>
  </si>
  <si>
    <t>=COUNT(D15:D20)</t>
  </si>
  <si>
    <t>=AVERAGE(D15:D20)</t>
  </si>
  <si>
    <t>=STDEV(D15:D20)</t>
  </si>
  <si>
    <t>=VAR(D15:D20)</t>
  </si>
  <si>
    <t>=STDEV(D15:D20)/AVERAGE(D15:D20)</t>
  </si>
  <si>
    <t>=2.83*STDEV(D15:D20)</t>
  </si>
  <si>
    <t>=((STDEV(D15:D20)/AVERAGE(D15:D20))^2)*(COUNT(D15:D20)-1)</t>
  </si>
  <si>
    <t>=MAX(MAX(D15:D20)-AVERAGE(D15:D20),AVERAGE(D15:D20)-MIN(D15:D20))</t>
  </si>
  <si>
    <t>=MAX(MAX(D15:D20)-AVERAGE(D15:D20),AVERAGE(D15:D20)-MIN(D15:D20))/STDEV(D15:D20)</t>
  </si>
  <si>
    <t>=IFERROR(VLOOKUP(C53,'8. Grubbs Tablosu'!A2:B30,2,FALSE),2.745)</t>
  </si>
  <si>
    <t>=IF((MAX(MAX(D15:D20)-AVERAGE(D15:D20),AVERAGE(D15:D20)-MIN(D15:D20))/STDEV(D15:D20))&gt;C54,"AYKIRI VAR (değeri inceleyin)","AYKIRI YOK (veri kabul)")</t>
  </si>
  <si>
    <t>── HAVUZLANMIŞ RSD ──</t>
  </si>
  <si>
    <t>RSDpool</t>
  </si>
  <si>
    <t>=SQRT((C30+C47)/((C24-1)+(C41-1)))</t>
  </si>
  <si>
    <t>── F-TESTİ ──</t>
  </si>
  <si>
    <t>s²(max)</t>
  </si>
  <si>
    <t>=MAX(C27,C44)</t>
  </si>
  <si>
    <t>s²(min)</t>
  </si>
  <si>
    <t>=MIN(C27,C44)</t>
  </si>
  <si>
    <t>Fhesap = s²max/s²min</t>
  </si>
  <si>
    <t>=C61/C62</t>
  </si>
  <si>
    <t>Fkritik (α=0.05; df1=5; df2=5)</t>
  </si>
  <si>
    <t>=F.INV.RT(0.05,5,5)</t>
  </si>
  <si>
    <t>Karar: Fhesap &lt; Fkritik ⇒ UYGUN</t>
  </si>
  <si>
    <t>=IF(C63&lt;C64,"UYGUN","UYGUN DEĞİL")</t>
  </si>
  <si>
    <t>Uygun</t>
  </si>
  <si>
    <t>2025-10-27</t>
  </si>
  <si>
    <t>=COUNT(C71:C76)</t>
  </si>
  <si>
    <t>=AVERAGE(C71:C76)</t>
  </si>
  <si>
    <t>=STDEV(C71:C76)</t>
  </si>
  <si>
    <t>=VAR(C71:C76)</t>
  </si>
  <si>
    <t>=STDEV(C71:C76)/AVERAGE(C71:C76)</t>
  </si>
  <si>
    <t>=2.83*STDEV(C71:C76)</t>
  </si>
  <si>
    <t>=((STDEV(C71:C76)/AVERAGE(C71:C76))^2)*(COUNT(C71:C76)-1)</t>
  </si>
  <si>
    <t>=MAX(MAX(C71:C76)-AVERAGE(C71:C76),AVERAGE(C71:C76)-MIN(C71:C76))</t>
  </si>
  <si>
    <t>=MAX(MAX(C71:C76)-AVERAGE(C71:C76),AVERAGE(C71:C76)-MIN(C71:C76))/STDEV(C71:C76)</t>
  </si>
  <si>
    <t>=IFERROR(VLOOKUP(C92,'8. Grubbs Tablosu'!A2:B30,2,FALSE),2.745)</t>
  </si>
  <si>
    <t>=IF((MAX(MAX(C71:C76)-AVERAGE(C71:C76),AVERAGE(C71:C76)-MIN(C71:C76))/STDEV(C71:C76))&gt;C93,"AYKIRI VAR (değeri inceleyin)","AYKIRI YOK (veri kabul)")</t>
  </si>
  <si>
    <t>=COUNT(D71:D76)</t>
  </si>
  <si>
    <t>=AVERAGE(D71:D76)</t>
  </si>
  <si>
    <t>=STDEV(D71:D76)</t>
  </si>
  <si>
    <t>=VAR(D71:D76)</t>
  </si>
  <si>
    <t>=STDEV(D71:D76)/AVERAGE(D71:D76)</t>
  </si>
  <si>
    <t>=2.83*STDEV(D71:D76)</t>
  </si>
  <si>
    <t>=((STDEV(D71:D76)/AVERAGE(D71:D76))^2)*(COUNT(D71:D76)-1)</t>
  </si>
  <si>
    <t>=MAX(MAX(D71:D76)-AVERAGE(D71:D76),AVERAGE(D71:D76)-MIN(D71:D76))</t>
  </si>
  <si>
    <t>=MAX(MAX(D71:D76)-AVERAGE(D71:D76),AVERAGE(D71:D76)-MIN(D71:D76))/STDEV(D71:D76)</t>
  </si>
  <si>
    <t>=IFERROR(VLOOKUP(C109,'8. Grubbs Tablosu'!A2:B30,2,FALSE),2.745)</t>
  </si>
  <si>
    <t>=IF((MAX(MAX(D71:D76)-AVERAGE(D71:D76),AVERAGE(D71:D76)-MIN(D71:D76))/STDEV(D71:D76))&gt;C110,"AYKIRI VAR (değeri inceleyin)","AYKIRI YOK (veri kabul)")</t>
  </si>
  <si>
    <t>=SQRT((C86+C103)/((C80-1)+(C97-1)))</t>
  </si>
  <si>
    <t>=MAX(C83,C100)</t>
  </si>
  <si>
    <t>=MIN(C83,C100)</t>
  </si>
  <si>
    <t>=C117/C118</t>
  </si>
  <si>
    <t>=IF(C119&lt;C120,"UYGUN","UYGUN DEĞİL")</t>
  </si>
  <si>
    <t>GERÇEKLİK (TRUENESS) — RECOVERY %, BIAS, U(BIAS), t-TESTİ</t>
  </si>
  <si>
    <t>TEORİK FORMÜLLER (Kaynak: TruenessStudyForm.tsx)</t>
  </si>
  <si>
    <t xml:space="preserve">  Birim faktörü (ppm): mg/L,mg/kg=1; µg/L,µg/kg=0.001; ng/L=1e-6; %=10000</t>
  </si>
  <si>
    <t xml:space="preserve">  Recovery_i = (x_i · faktör) / (hedef · faktör) · 100</t>
  </si>
  <si>
    <t xml:space="preserve">  Personel başına: x̄, Sr (STDEV), RSD = Sr/x̄</t>
  </si>
  <si>
    <t xml:space="preserve">  Havuz (tüm personel — recovery oranlarından):</t>
  </si>
  <si>
    <t xml:space="preserve">    R̄  = Σ(recovery_i/100) / n</t>
  </si>
  <si>
    <t xml:space="preserve">    s_R = √[ Σ(R_i − R̄)² / (n−1) ]</t>
  </si>
  <si>
    <t xml:space="preserve">    U(x) = s_R / √n</t>
  </si>
  <si>
    <t xml:space="preserve">    Bias % = (1 − R̄) · 100</t>
  </si>
  <si>
    <t xml:space="preserve">    U(Bias) = √[ ((1 − R̄)/√3)² + U(x)² ]</t>
  </si>
  <si>
    <t xml:space="preserve">    t_hesap = |1 − R̄| / U(x)</t>
  </si>
  <si>
    <t xml:space="preserve">    t_kritik = T.INV.2T(0.05; n−1)        (iki yönlü, α=0.05)</t>
  </si>
  <si>
    <t xml:space="preserve">    Karar: t_hesap ≤ t_kritik ⇒ UYGUN (bias düzeltmesi gerekli değil)</t>
  </si>
  <si>
    <t>KOMPONENT: Fumaric acid, bis-mehyl ester (DMFu)   |   Birim: mg_kg   |   Hedef: 1</t>
  </si>
  <si>
    <t>Recovery % (P1)</t>
  </si>
  <si>
    <t>Recovery % (P2)</t>
  </si>
  <si>
    <t>=COUNT(B20:B31)</t>
  </si>
  <si>
    <t>=AVERAGE(B20:B31)</t>
  </si>
  <si>
    <t>=STDEV(B20:B31)</t>
  </si>
  <si>
    <t>RSD = Sr/x̄</t>
  </si>
  <si>
    <t>=STDEV(B20:B31)/AVERAGE(B20:B31)</t>
  </si>
  <si>
    <t>=COUNT(C20:C31)</t>
  </si>
  <si>
    <t>=AVERAGE(C20:C31)</t>
  </si>
  <si>
    <t>=STDEV(C20:C31)</t>
  </si>
  <si>
    <t>RSD</t>
  </si>
  <si>
    <t>=STDEV(C20:C31)/AVERAGE(C20:C31)</t>
  </si>
  <si>
    <t>── HAVUZ (tüm personel — recovery oranlarından) ──</t>
  </si>
  <si>
    <t>R̄ (mean, 0-1) = AVERAGE(Rec%)/100</t>
  </si>
  <si>
    <t>=AVERAGE(D20:E31)/100</t>
  </si>
  <si>
    <t>R̄ %</t>
  </si>
  <si>
    <t>=AVERAGE(D20:E31)</t>
  </si>
  <si>
    <t>s_R (recovery oranlarının std)</t>
  </si>
  <si>
    <t>=STDEV(D20:E31)/100</t>
  </si>
  <si>
    <t>=COUNT(D20:E31)</t>
  </si>
  <si>
    <t>U(x) = s_R / √n</t>
  </si>
  <si>
    <t>=(STDEV(D20:E31)/100)/SQRT(COUNT(D20:E31))</t>
  </si>
  <si>
    <t>Bias % = (1 − R̄)·100</t>
  </si>
  <si>
    <t>=(1-(AVERAGE(D20:E31)/100))*100</t>
  </si>
  <si>
    <t>U(Bias) = √[((1−R̄)/√3)² + U(x)²]</t>
  </si>
  <si>
    <t>=SQRT(((1-(AVERAGE(D20:E31)/100))/SQRT(3))^2+((STDEV(D20:E31)/100)/SQRT(COUNT(D20:E31)))^2)</t>
  </si>
  <si>
    <t>t_hesap = |1−R̄|/U(x)</t>
  </si>
  <si>
    <t>=ABS(1-(AVERAGE(D20:E31)/100))/((STDEV(D20:E31)/100)/SQRT(COUNT(D20:E31)))</t>
  </si>
  <si>
    <t>t_kritik (α=0.05; df=n−1)</t>
  </si>
  <si>
    <t>=T.INV.2T(0.05,COUNT(D20:E31)-1)</t>
  </si>
  <si>
    <t>── GRUBBS AYKIRI DEĞER TESTİ (recovery oranları) (α=0.05) ──</t>
  </si>
  <si>
    <t>=MAX(MAX(D20:E31)-AVERAGE(D20:E31),AVERAGE(D20:E31)-MIN(D20:E31))</t>
  </si>
  <si>
    <t>=STDEV(D20:E31)</t>
  </si>
  <si>
    <t>=MAX(MAX(D20:E31)-AVERAGE(D20:E31),AVERAGE(D20:E31)-MIN(D20:E31))/STDEV(D20:E31)</t>
  </si>
  <si>
    <t>=IFERROR(VLOOKUP(C61,'8. Grubbs Tablosu'!A2:B30,2,FALSE),2.745)</t>
  </si>
  <si>
    <t>=IF((MAX(MAX(D20:E31)-AVERAGE(D20:E31),AVERAGE(D20:E31)-MIN(D20:E31))/STDEV(D20:E31))&gt;C62,"AYKIRI VAR (değeri inceleyin)","AYKIRI YOK (veri kabul)")</t>
  </si>
  <si>
    <t>KOMPONENT: Maleic acid, bis-methyl ester (DMMa)   |   Birim: mg_kg   |   Hedef: 1</t>
  </si>
  <si>
    <t>=COUNT(B69:B80)</t>
  </si>
  <si>
    <t>=AVERAGE(B69:B80)</t>
  </si>
  <si>
    <t>=STDEV(B69:B80)</t>
  </si>
  <si>
    <t>=STDEV(B69:B80)/AVERAGE(B69:B80)</t>
  </si>
  <si>
    <t>=COUNT(C69:C80)</t>
  </si>
  <si>
    <t>=AVERAGE(C69:C80)</t>
  </si>
  <si>
    <t>=STDEV(C69:C80)</t>
  </si>
  <si>
    <t>=STDEV(C69:C80)/AVERAGE(C69:C80)</t>
  </si>
  <si>
    <t>=AVERAGE(D69:E80)/100</t>
  </si>
  <si>
    <t>=AVERAGE(D69:E80)</t>
  </si>
  <si>
    <t>=STDEV(D69:E80)/100</t>
  </si>
  <si>
    <t>=COUNT(D69:E80)</t>
  </si>
  <si>
    <t>=(STDEV(D69:E80)/100)/SQRT(COUNT(D69:E80))</t>
  </si>
  <si>
    <t>=(1-(AVERAGE(D69:E80)/100))*100</t>
  </si>
  <si>
    <t>=SQRT(((1-(AVERAGE(D69:E80)/100))/SQRT(3))^2+((STDEV(D69:E80)/100)/SQRT(COUNT(D69:E80)))^2)</t>
  </si>
  <si>
    <t>=ABS(1-(AVERAGE(D69:E80)/100))/((STDEV(D69:E80)/100)/SQRT(COUNT(D69:E80)))</t>
  </si>
  <si>
    <t>=T.INV.2T(0.05,COUNT(D69:E80)-1)</t>
  </si>
  <si>
    <t>=MAX(MAX(D69:E80)-AVERAGE(D69:E80),AVERAGE(D69:E80)-MIN(D69:E80))</t>
  </si>
  <si>
    <t>=STDEV(D69:E80)</t>
  </si>
  <si>
    <t>=MAX(MAX(D69:E80)-AVERAGE(D69:E80),AVERAGE(D69:E80)-MIN(D69:E80))/STDEV(D69:E80)</t>
  </si>
  <si>
    <t>=IFERROR(VLOOKUP(C110,'8. Grubbs Tablosu'!A2:B30,2,FALSE),2.745)</t>
  </si>
  <si>
    <t>=IF((MAX(MAX(D69:E80)-AVERAGE(D69:E80),AVERAGE(D69:E80)-MIN(D69:E80))/STDEV(D69:E80))&gt;C111,"AYKIRI VAR (değeri inceleyin)","AYKIRI YOK (veri kabul)")</t>
  </si>
  <si>
    <t>ÖLÇÜM BELİRSİZLİĞİ (GUM / ISO/IEC Guide 98-3)</t>
  </si>
  <si>
    <t>TEORİK FORMÜLLER (Kaynak: MeasurementUncertaintyBudgetForm.tsx + SamplePreparationUncertaintyForm.tsx)</t>
  </si>
  <si>
    <t xml:space="preserve">  1) Bileşen standart belirsizliği: u_x = U / k     (k=2 normal/Gauss; k=√3≈1.732 dikdörtgen; k=√6≈2.449 üçgensel)</t>
  </si>
  <si>
    <t xml:space="preserve">  2) Relatif: u_rel = u_x / x</t>
  </si>
  <si>
    <t xml:space="preserve">  3) Hacimsel cam sıcaklık belirsizliği: u_T = (2.1·10⁻⁴ · 5 · V) / √3      (V=mL, ΔT=5°C lab aralığı)</t>
  </si>
  <si>
    <t xml:space="preserve">  4) Birleşik (RSS): u_c = √( u_lin² + u_repeat² + u_repro² + u_bias² + u_prep_devices² + u_prep_chemicals² )</t>
  </si>
  <si>
    <t xml:space="preserve">  5) Genişletilmiş: U = k · u_c    (k=2 ⇒ %95 güven aralığı)</t>
  </si>
  <si>
    <t xml:space="preserve">  6) Bileşen katkı yüzdesi: (u_i² / Σu_i²) · 100</t>
  </si>
  <si>
    <t>VALIDASYON 21 — BÜTÇE (komponent: Fumaric acid, bis-mehyl ester (DMFu))</t>
  </si>
  <si>
    <t>NOT: Bileşen değerleri ilgili modüllerde hesaplanmıştır. Burada RSS (kareler toplamının karekökü) ile birleştirilmektedir.</t>
  </si>
  <si>
    <t>Bileşen Kaynağı</t>
  </si>
  <si>
    <t>Açıklama</t>
  </si>
  <si>
    <t>u_i (relatif)</t>
  </si>
  <si>
    <t>u_i² (kareli)</t>
  </si>
  <si>
    <t>% Katkı</t>
  </si>
  <si>
    <t>u_linearity (Doğrusallık U(Co))</t>
  </si>
  <si>
    <t>LINEARITY modülünden: (s/b1)·√(1/p+1/(n·p)+(Co−x̄)²/Sxx)</t>
  </si>
  <si>
    <t>u_repeatability (en yüksek RSDpool)</t>
  </si>
  <si>
    <t>REPEATABILITY: max(RSDpool, düzeyler — worst-case)</t>
  </si>
  <si>
    <t>u_reproducibility (RSDpool)</t>
  </si>
  <si>
    <t>REPRODUCIBILITY: havuzlanmış RSD</t>
  </si>
  <si>
    <t>u_bias (Gerçeklik U(Bias))</t>
  </si>
  <si>
    <t>TRUENESS: √[((1−R̄)/√3)² + U(x)²]</t>
  </si>
  <si>
    <t>u_prep_devices</t>
  </si>
  <si>
    <t>Numune Hazırlama — pipet/balon/terazi RSS</t>
  </si>
  <si>
    <t>u_prep_chemicals</t>
  </si>
  <si>
    <t>Numune Hazırlama — standart kimyasal RSS</t>
  </si>
  <si>
    <t>Σu_i² (toplam varyans)</t>
  </si>
  <si>
    <t>u_c = √(Σu_i²)</t>
  </si>
  <si>
    <t>=SQRT(D21)</t>
  </si>
  <si>
    <t>k (kapsam faktörü, %95)</t>
  </si>
  <si>
    <t>U = k · u_c (genişletilmiş belirsizlik)</t>
  </si>
  <si>
    <t>=C23*C22</t>
  </si>
  <si>
    <t>BİLEŞEN KATKI YÜZDELERİ (Pareto)</t>
  </si>
  <si>
    <t>NOT: Validasyon 21'de Numune Hazırlama modülü boştur, u_prep_devices ve u_prep_chemicals = 0 alınmıştır. Eklendiğinde RSS otomatik yeniden hesaplanacaktır.</t>
  </si>
  <si>
    <t>G_kritik (α=0.05)</t>
  </si>
  <si>
    <t>GRUBBS AYKIRI DEĞER TESTİ — KRİTİK DEĞER TABLOSU</t>
  </si>
  <si>
    <t>KAYNAK: ISO 5725-2 ve Grubbs (1969) "Procedures for Detecting Outlying Observations".</t>
  </si>
  <si>
    <t>Eurachem Guide "The Fitness for Purpose of Analytical Methods" (2nd ed., 2014)</t>
  </si>
  <si>
    <t>aykırı değer testleri arasında Grubbs testini önerir.</t>
  </si>
  <si>
    <t>TEST İLKESİ:</t>
  </si>
  <si>
    <t xml:space="preserve">  G_hesap = |x_uç − x̄| / s</t>
  </si>
  <si>
    <t xml:space="preserve">  Burada x_uç, ortalamadan en uzak değer (max veya min).</t>
  </si>
  <si>
    <t>KARAR:</t>
  </si>
  <si>
    <t xml:space="preserve">  G_hesap &gt; G_kritik(n, α=0.05) ⇒ değer aykırı (outlier).</t>
  </si>
  <si>
    <t xml:space="preserve">  G_hesap ≤ G_kritik              ⇒ veri normal dağılıma uygun, dışlanmaz.</t>
  </si>
  <si>
    <t>n &gt; 30 için sistemde 2.745 kullanılır (tablodan ekstrapolasyon).</t>
  </si>
  <si>
    <t>KAYNAK KODU: components/validation/shared/grubbs.ts — calculateGrubbs()</t>
  </si>
  <si>
    <t>EURACHEM REHBER UYGUNLUK DEĞERLENDİRMESİ</t>
  </si>
  <si>
    <t>REFERANS REHBERLER</t>
  </si>
  <si>
    <t>EURACHEM-FFP-2014</t>
  </si>
  <si>
    <t>Eurachem Guide "The Fitness for Purpose of Analytical Methods — A Laboratory Guide to Method Validation and Related Topics", 2nd Edition, 2014, ISBN 978-91-87461-59-0</t>
  </si>
  <si>
    <t>EURACHEM-CG4-2012</t>
  </si>
  <si>
    <t>Eurachem/CITAC Guide CG 4 "Quantifying Uncertainty in Analytical Measurement", 3rd Edition, 2012</t>
  </si>
  <si>
    <t>ISO 5725-2:2019</t>
  </si>
  <si>
    <t>Accuracy (trueness and precision) of measurement methods and results — Part 2: Basic methods</t>
  </si>
  <si>
    <t>ISO/IEC Guide 98-3 (GUM)</t>
  </si>
  <si>
    <t>Uncertainty of measurement — Part 3: Guide to the expression of uncertainty in measurement (2008)</t>
  </si>
  <si>
    <t>IUPAC / ICH Q2(R1)</t>
  </si>
  <si>
    <t>Validation of Analytical Procedures: Text and Methodology</t>
  </si>
  <si>
    <t>AOAC PVMP</t>
  </si>
  <si>
    <t>AOAC Manual for the Peer Verified Methods Program — Analyte Recovery Table</t>
  </si>
  <si>
    <t>DEĞERLENDİRME TABLOSU</t>
  </si>
  <si>
    <t>Hesaplama / Parametre</t>
  </si>
  <si>
    <t>Sistemdeki Formül</t>
  </si>
  <si>
    <t>Eurachem / İlgili Rehber Referansı</t>
  </si>
  <si>
    <t>Uyum</t>
  </si>
  <si>
    <t>Düşük seviye spike numunelerden (Bessel: n−1)</t>
  </si>
  <si>
    <t>Eurachem FFP §8.3.2: spike (low-conc) yöntemi ile μ + 3·σ; IUPAC/ICH Q2(R1) §6.3.2</t>
  </si>
  <si>
    <t>UYGUN</t>
  </si>
  <si>
    <t>Eurachem 3 farklı yaklaşımı kabul eder: (1) S/N=3, (2) blank + 3·σ_blank, (3) düşük seviye spike. Sistem (3) yaklaşımını uyguluyor — Eurachem tarafından kabul gören standart yöntemdir.</t>
  </si>
  <si>
    <t>Düşük seviye spike numunelerden</t>
  </si>
  <si>
    <t>Eurachem FFP §8.3.3; IUPAC/ICH Q2(R1)</t>
  </si>
  <si>
    <t>LOQ için 10·σ kullanımı IUPAC ve Eurachem ile birebir uyumlu. ICH Q2(R1) da bu formülü açıkça önerir.</t>
  </si>
  <si>
    <t>Slope, Intercept (OLS regresyon)</t>
  </si>
  <si>
    <t>En küçük kareler: SLOPE / INTERCEPT formülleri</t>
  </si>
  <si>
    <t>Eurachem FFP §6.4 ve Ek B; ISO 11095</t>
  </si>
  <si>
    <t>Standart en küçük kareler regresyonu. Eurachem ağırlıklı regresyon (WLS) da önerir; sistemde homoscedastik (eşit varyans) varsayımı kullanılıyor.</t>
  </si>
  <si>
    <t>R² (Belirleme Katsayısı)</t>
  </si>
  <si>
    <t>r² (Pearson korelasyonunun karesi)</t>
  </si>
  <si>
    <t>Eurachem FFP §6.4: korelasyon yalnız uygunluk göstergesidir, tek başına yeterli değildir</t>
  </si>
  <si>
    <t>UYGUN — UYARI</t>
  </si>
  <si>
    <t>Eurachem R²'yi kabul kriteri olarak yeterli görmez, residual analizi de önerir. Sistem rezidüel hesaplar (Y−ŷ ve karesi) — Eurachem ile UYGUN.</t>
  </si>
  <si>
    <t>U(Co) — kalibrasyon belirsizliği</t>
  </si>
  <si>
    <t>(s/b1)·√(1/p + 1/(n·p) + (Co−x̄)²/Sxx)</t>
  </si>
  <si>
    <t>Eurachem CG-4 §A.2.4 (Linear calibration)</t>
  </si>
  <si>
    <t>Eurachem CG-4 Ek A.2.4'teki kalibrasyon belirsizliği formülünün birebir karşılığı. p = okutma sayısı (sistem p=3 sabiti, lab konvansiyonu).</t>
  </si>
  <si>
    <t>Sr (Repeatability StDev)</t>
  </si>
  <si>
    <t>√[ Σ(xi − x̄)² / (n−1) ] (Bessel)</t>
  </si>
  <si>
    <t>ISO 5725-2 §7; Eurachem FFP §6.5.1</t>
  </si>
  <si>
    <t>ISO 5725-2 standart tanımı. Eurachem tüm precision hesaplarında bu formülü kullanır.</t>
  </si>
  <si>
    <t>RSDr = Sr / x̄</t>
  </si>
  <si>
    <t>Relatif standart sapma</t>
  </si>
  <si>
    <t>Eurachem FFP §6.5.1 (yorumlama Horwitz oranı ile)</t>
  </si>
  <si>
    <t>Eurachem hem Horwitz oranı hem RSDr/RSDR kullanımını kabul eder.</t>
  </si>
  <si>
    <t>r = 2.83 · Sr</t>
  </si>
  <si>
    <t>Tekrarlanabilirlik limiti</t>
  </si>
  <si>
    <t>ISO 5725-6 §4.1.1 (r = 2√2·Sr ≈ 2.83·Sr, %95)</t>
  </si>
  <si>
    <t>ISO 5725-6'nın resmi tanımı. Eurachem FFP §6.5.1 bu limiti aynen kullanır.</t>
  </si>
  <si>
    <t>Havuzlanmış RSD (RSDpool)</t>
  </si>
  <si>
    <t>√[ Σ(RSDr²·(n−1)) / Σ(n−1) ]</t>
  </si>
  <si>
    <t>Eurachem FFP §6.5.2 ve Nordtest TR 537 §5</t>
  </si>
  <si>
    <t>Pooled SD/RSD yaygın standart formül. Eurachem birden çok düzey / personel verilerinin birleştirilmesinde önerir.</t>
  </si>
  <si>
    <t>F-testi (varyans homojenliği)</t>
  </si>
  <si>
    <t>F = s²max / s²min; F_kritik = F.INV.RT(α=0.05; df1; df2)</t>
  </si>
  <si>
    <t>Eurachem FFP §6.5.3; ISO 5725-2 §7.3.3</t>
  </si>
  <si>
    <t>İki veya daha fazla operatörün varyanslarının kıyaslanması için Eurachem'in standart önerisi.</t>
  </si>
  <si>
    <t>Recovery % = (ölçülen/hedef)·100</t>
  </si>
  <si>
    <t>Spike/CRM ile geri kazanım</t>
  </si>
  <si>
    <t>Eurachem FFP §6.6.1; AOAC PVMP</t>
  </si>
  <si>
    <t>Eurachem ve AOAC bu formülü standart kullanır.</t>
  </si>
  <si>
    <t>Recovery limit aralıkları</t>
  </si>
  <si>
    <t>AOAC PVMP tablosu — derişime göre</t>
  </si>
  <si>
    <t>AOAC PVMP "Analyte Recovery Table"; Eurachem FFP §6.6.3 referans verir</t>
  </si>
  <si>
    <t>Sistem birebir AOAC PVMP aralıklarını kullanıyor (1 ppm: 80-110%, 10 ppb: 60-115% vb.). Eurachem CG-4 bu tabloya açıkça atıf yapar.</t>
  </si>
  <si>
    <t>Geri kazanım üzerinden bias</t>
  </si>
  <si>
    <t>Eurachem FFP §6.6.4 ve CG-4 §7.16</t>
  </si>
  <si>
    <t>Eurachem standart formülü.</t>
  </si>
  <si>
    <t>U(Bias) = √[((1−R̄)/√3)² + (s_R/√n)²]</t>
  </si>
  <si>
    <t>Bias belirsizliği — dikdörtgen + std hata</t>
  </si>
  <si>
    <t>Eurachem CG-4 §7.16 (Recovery from spike/CRM)</t>
  </si>
  <si>
    <t>Eurachem CG-4 Bölüm 7.16'daki "u(δ)" formülünün BİREBİR karşılığı. (1−R̄)/√3 = bias'ın rectangular distribution belirsizliği; s_R/√n = recovery ortalamasının standart hatası.</t>
  </si>
  <si>
    <t>t-testi (Recovery uygunluk)</t>
  </si>
  <si>
    <t>t = |1 − R̄| / U(x); t_kritik = T.INV.2T(0.05; n−1)</t>
  </si>
  <si>
    <t>Eurachem FFP §6.6.4; ISO 5725-6 §7</t>
  </si>
  <si>
    <t>Recovery 1'den anlamlı sapma testi için Eurachem ile birebir aynı yaklaşım. İki yönlü Student t.</t>
  </si>
  <si>
    <t>Grubbs Aykırı Değer Testi</t>
  </si>
  <si>
    <t>G = |x_uç − x̄|/s ; tablo: G_kritik(n, α=0.05)</t>
  </si>
  <si>
    <t>Eurachem FFP §8 ve ISO 5725-2 Annex; Grubbs (1969)</t>
  </si>
  <si>
    <t>Eurachem ve ISO 5725-2 Grubbs testini öneren standart yöntem olarak listeler. Tablo değerleri (n=3-30) Grubbs (1969)'a göre.</t>
  </si>
  <si>
    <t>Birleşik belirsizlik u_c</t>
  </si>
  <si>
    <t>√(Σu_i²) — RSS (Root Sum Squares)</t>
  </si>
  <si>
    <t>GUM §5.1.2; Eurachem CG-4 §8</t>
  </si>
  <si>
    <t>GUM'un temel formülü. Eurachem CG-4 tüm belirsizlik bütçesi inşalarında bu formülü kullanır.</t>
  </si>
  <si>
    <t>Genişletilmiş belirsizlik U = k·u_c</t>
  </si>
  <si>
    <t>k = 2 (%95 güven, normal dağılım)</t>
  </si>
  <si>
    <t>GUM §6; Eurachem CG-4 §8.4</t>
  </si>
  <si>
    <t>Eurachem CG-4 §8.4 k=2 (%95) varsayılan kapsam faktörünü standart olarak kullanır.</t>
  </si>
  <si>
    <t>Dağılım faktörleri</t>
  </si>
  <si>
    <t>Normal: k=2; Rectangular: √3; Triangular: √6</t>
  </si>
  <si>
    <t>Eurachem CG-4 §7 (Tablo 7.1) ve GUM §G.2</t>
  </si>
  <si>
    <t>Eurachem CG-4 Tablo 7.1 değerleri ile birebir aynı.</t>
  </si>
  <si>
    <t>Hacimsel cam sıcaklık belirsizliği</t>
  </si>
  <si>
    <t>u_T = (2.1·10⁻⁴ · ΔT · V) / √3</t>
  </si>
  <si>
    <t>Eurachem CG-4 Örnek A.5 (Volumetric flask)</t>
  </si>
  <si>
    <t>Eurachem CG-4 Ek A.5 örneğinde bu formül kullanılıyor. 2.1·10⁻⁴ = suyun hacimsel genleşme katsayısı (1/°C); ΔT = lab sıcaklık aralığı (sistem 5°C).</t>
  </si>
  <si>
    <t>Bileşen katkı yüzdesi</t>
  </si>
  <si>
    <t>(u_i² / Σu_i²) · 100</t>
  </si>
  <si>
    <t>Eurachem CG-4 §8.2 (uncertainty budget pie chart)</t>
  </si>
  <si>
    <t>Belirsizlik bütçesi Pareto görselleştirmesi için Eurachem'in standart önerisi.</t>
  </si>
  <si>
    <t>GENEL DEĞERLENDİRME</t>
  </si>
  <si>
    <t>Validasyon 21 (DMFu Tayini) ekranında kullanılan TÜM hesaplama algoritmaları, Eurachem</t>
  </si>
  <si>
    <t>Guide "The Fitness for Purpose of Analytical Methods" (2014) ve Eurachem/CITAC CG 4 (2012)</t>
  </si>
  <si>
    <t>rehberlerinde tanımlı standart formüllerle BİREBİR UYUMLUDUR.</t>
  </si>
  <si>
    <t>Spesifik olarak doğrulanan ana başlıklar:</t>
  </si>
  <si>
    <t xml:space="preserve">  • Doğrusallık — OLS regresyon (Eurachem FFP §6.4 ile uygun)</t>
  </si>
  <si>
    <t xml:space="preserve">  • LOD/LOQ — düşük seviye spike yaklaşımı (Eurachem FFP §8.3, IUPAC, ICH Q2)</t>
  </si>
  <si>
    <t xml:space="preserve">  • Tekrarlanabilirlik / Tekrarüretilebilirlik — ISO 5725-2 ve Eurachem §6.5</t>
  </si>
  <si>
    <t xml:space="preserve">  • Gerçeklik (Trueness) — Recovery + Bias belirsizliği (Eurachem CG-4 §7.16)</t>
  </si>
  <si>
    <t xml:space="preserve">  • Ölçüm Belirsizliği — GUM/Eurachem CG-4 tam uyumlu RSS yaklaşımı</t>
  </si>
  <si>
    <t xml:space="preserve">  • Aykırı Değer Testi — Grubbs (Eurachem FFP §8 önerisi)</t>
  </si>
  <si>
    <t>BİR DİKKAT NOKTASI:</t>
  </si>
  <si>
    <t xml:space="preserve">  R² (belirleme katsayısı) tek başına lineerite kabul kriteri olarak yeterli değildir</t>
  </si>
  <si>
    <t xml:space="preserve">  (Eurachem FFP §6.4 vurgular). Sistemde rezidüel analizi de yapıldığı için bu öneri</t>
  </si>
  <si>
    <t xml:space="preserve">  karşılanmıştır (residual ve karesi grafiği/sütunu mevcut).</t>
  </si>
  <si>
    <t>AKREDİTASYON SUNUMU İÇİN UYGUNDUR.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</si>
</sst>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"/>
  </numFmts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</font>
    <font>
      <b/>
      <color rgb="FFFFFFFF"/>
      <sz val="12"/>
      <name val="Calibri"/>
    </font>
    <font>
      <b/>
      <color rgb="FFFFFFFF"/>
    </font>
    <font>
      <i/>
    </font>
    <font>
      <b/>
      <color rgb="FF0071E3"/>
    </font>
    <font>
      <b/>
      <color rgb="FFAD1457"/>
    </font>
    <font>
      <b/>
      <color rgb="FFE6850A"/>
    </font>
    <font>
      <b/>
      <color rgb="FFD32F2F"/>
    </font>
    <font>
      <b/>
      <color rgb="FF1B5E20"/>
    </font>
    <font>
      <b/>
      <color rgb="FF795548"/>
    </font>
  </fonts>
  <fills count="12">
    <fill>
      <patternFill patternType="none"/>
    </fill>
    <fill>
      <patternFill patternType="gray125"/>
    </fill>
    <fill>
      <patternFill patternType="solid">
        <fgColor rgb="FF0071E3"/>
      </patternFill>
    </fill>
    <fill>
      <patternFill patternType="solid">
        <fgColor rgb="FF333344"/>
      </patternFill>
    </fill>
    <fill>
      <patternFill patternType="solid">
        <fgColor rgb="FFFFF3CD"/>
      </patternFill>
    </fill>
    <fill>
      <patternFill patternType="solid">
        <fgColor rgb="FF5856D6"/>
      </patternFill>
    </fill>
    <fill>
      <patternFill patternType="solid">
        <fgColor rgb="FF34C759"/>
      </patternFill>
    </fill>
    <fill>
      <patternFill patternType="solid">
        <fgColor rgb="FFFFE5B4"/>
      </patternFill>
    </fill>
    <fill>
      <patternFill patternType="solid">
        <fgColor rgb="FFD4F8D4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FFF59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2" fillId="4" borderId="1" xfId="0" applyFont="1" applyFill="1" applyBorder="1"/>
    <xf numFmtId="0" fontId="0" fillId="0" borderId="1" xfId="0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5" fillId="7" borderId="1" xfId="0" applyFont="1" applyFill="1" applyBorder="1"/>
    <xf numFmtId="164" fontId="0" fillId="8" borderId="1" xfId="0" applyNumberFormat="1" applyFill="1" applyBorder="1"/>
    <xf numFmtId="0" fontId="2" fillId="9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0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FormatPr defaultRowHeight="15" outlineLevelRow="0" outlineLevelCol="0" x14ac:dyDescent="55"/>
  <cols>
    <col min="1" max="1" width="44" customWidth="1"/>
    <col min="2" max="2" width="90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 t="s">
        <v>21</v>
      </c>
      <c r="B13" s="3" t="s">
        <v>22</v>
      </c>
    </row>
    <row r="14" spans="1:2" x14ac:dyDescent="0.25">
      <c r="A14" s="2" t="s">
        <v>23</v>
      </c>
      <c r="B14" s="3" t="s">
        <v>24</v>
      </c>
    </row>
    <row r="16" spans="1:2" x14ac:dyDescent="0.25">
      <c r="A16" s="4" t="s">
        <v>25</v>
      </c>
      <c r="B16" s="4"/>
    </row>
    <row r="17" spans="1:2" x14ac:dyDescent="0.25">
      <c r="A17" s="3" t="s">
        <v>26</v>
      </c>
      <c r="B17" s="3"/>
    </row>
    <row r="18" spans="1:2" x14ac:dyDescent="0.25">
      <c r="A18" s="3" t="s">
        <v>27</v>
      </c>
      <c r="B18" s="3"/>
    </row>
    <row r="19" spans="1:2" x14ac:dyDescent="0.25">
      <c r="A19" s="3" t="s">
        <v>28</v>
      </c>
      <c r="B19" s="3"/>
    </row>
    <row r="20" spans="1:2" x14ac:dyDescent="0.25">
      <c r="A20" s="3" t="s">
        <v>29</v>
      </c>
      <c r="B20" s="3"/>
    </row>
    <row r="21" spans="1:2" x14ac:dyDescent="0.25">
      <c r="A21" s="3" t="s">
        <v>30</v>
      </c>
      <c r="B21" s="3"/>
    </row>
    <row r="22" spans="1:2" x14ac:dyDescent="0.25">
      <c r="A22" s="3" t="s">
        <v>31</v>
      </c>
      <c r="B22" s="3"/>
    </row>
    <row r="23" spans="1:2" x14ac:dyDescent="0.25">
      <c r="A23" s="3" t="s">
        <v>32</v>
      </c>
      <c r="B23" s="3"/>
    </row>
    <row r="24" spans="1:2" x14ac:dyDescent="0.25">
      <c r="A24" s="3" t="s">
        <v>33</v>
      </c>
      <c r="B24" s="3"/>
    </row>
    <row r="25" spans="1:2" x14ac:dyDescent="0.25">
      <c r="A25" s="3" t="s">
        <v>34</v>
      </c>
      <c r="B25" s="3"/>
    </row>
    <row r="27" spans="1:2" x14ac:dyDescent="0.25">
      <c r="A27" s="4" t="s">
        <v>35</v>
      </c>
      <c r="B27" s="4"/>
    </row>
    <row r="28" spans="1:2" x14ac:dyDescent="0.25">
      <c r="A28" s="3" t="s">
        <v>36</v>
      </c>
      <c r="B28" s="3"/>
    </row>
    <row r="29" spans="1:2" x14ac:dyDescent="0.25">
      <c r="A29" s="3" t="s">
        <v>37</v>
      </c>
      <c r="B29" s="3"/>
    </row>
    <row r="30" spans="1:2" x14ac:dyDescent="0.25">
      <c r="A30" s="3" t="s">
        <v>38</v>
      </c>
      <c r="B30" s="3"/>
    </row>
    <row r="31" spans="1:2" x14ac:dyDescent="0.25">
      <c r="A31" s="3" t="s">
        <v>39</v>
      </c>
      <c r="B31" s="3"/>
    </row>
    <row r="32" spans="1:2" x14ac:dyDescent="0.25">
      <c r="A32" s="3" t="s">
        <v>40</v>
      </c>
      <c r="B32" s="3"/>
    </row>
    <row r="34" spans="1:2" x14ac:dyDescent="0.25">
      <c r="A34" s="4" t="s">
        <v>41</v>
      </c>
      <c r="B34" s="4"/>
    </row>
    <row r="35" spans="1:2" x14ac:dyDescent="0.25">
      <c r="A35" s="2" t="s">
        <v>42</v>
      </c>
      <c r="B35" s="3" t="s">
        <v>43</v>
      </c>
    </row>
    <row r="36" spans="1:2" x14ac:dyDescent="0.25">
      <c r="A36" s="2" t="s">
        <v>44</v>
      </c>
      <c r="B36" s="3" t="s">
        <v>45</v>
      </c>
    </row>
    <row r="37" spans="1:2" x14ac:dyDescent="0.25">
      <c r="A37" s="2" t="s">
        <v>46</v>
      </c>
      <c r="B37" s="3" t="s">
        <v>47</v>
      </c>
    </row>
    <row r="38" spans="1:2" x14ac:dyDescent="0.25">
      <c r="A38" s="2" t="s">
        <v>48</v>
      </c>
      <c r="B38" s="3" t="s">
        <v>49</v>
      </c>
    </row>
    <row r="39" spans="1:2" x14ac:dyDescent="0.25">
      <c r="A39" s="2" t="s">
        <v>50</v>
      </c>
      <c r="B39" s="3" t="s">
        <v>51</v>
      </c>
    </row>
    <row r="40" spans="1:2" x14ac:dyDescent="0.25">
      <c r="A40" s="2" t="s">
        <v>52</v>
      </c>
      <c r="B40" s="3" t="s">
        <v>53</v>
      </c>
    </row>
    <row r="41" spans="1:2" x14ac:dyDescent="0.25">
      <c r="A41" s="2" t="s">
        <v>54</v>
      </c>
      <c r="B41" s="3" t="s">
        <v>55</v>
      </c>
    </row>
    <row r="42" spans="1:2" x14ac:dyDescent="0.25">
      <c r="A42" s="2" t="s">
        <v>56</v>
      </c>
      <c r="B42" s="3" t="s">
        <v>57</v>
      </c>
    </row>
  </sheetData>
  <mergeCells count="18">
    <mergeCell ref="A1:B1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  <mergeCell ref="A29:B29"/>
    <mergeCell ref="A30:B30"/>
    <mergeCell ref="A31:B31"/>
    <mergeCell ref="A32:B32"/>
    <mergeCell ref="A34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36" customWidth="1"/>
    <col min="2" max="6" width="22" customWidth="1"/>
    <col min="7" max="7" width="16" customWidth="1"/>
  </cols>
  <sheetData>
    <row r="1" ht="24" customHeight="1" spans="1:7" x14ac:dyDescent="0.25">
      <c r="A1" s="1" t="s">
        <v>58</v>
      </c>
      <c r="B1" s="1"/>
      <c r="C1" s="1"/>
      <c r="D1" s="1"/>
      <c r="E1" s="1"/>
      <c r="F1" s="1"/>
      <c r="G1" s="1"/>
    </row>
    <row r="3" spans="1:7" x14ac:dyDescent="0.25">
      <c r="A3" s="4" t="s">
        <v>59</v>
      </c>
      <c r="B3" s="4"/>
      <c r="C3" s="4"/>
      <c r="D3" s="4"/>
      <c r="E3" s="4"/>
      <c r="F3" s="4"/>
      <c r="G3" s="4"/>
    </row>
    <row r="4" spans="1:7" x14ac:dyDescent="0.25">
      <c r="A4" s="3" t="s">
        <v>60</v>
      </c>
      <c r="B4" s="3"/>
      <c r="C4" s="3"/>
      <c r="D4" s="3"/>
      <c r="E4" s="3"/>
      <c r="F4" s="3"/>
      <c r="G4" s="3"/>
    </row>
    <row r="5" spans="1:7" x14ac:dyDescent="0.25">
      <c r="A5" s="3" t="s">
        <v>61</v>
      </c>
      <c r="B5" s="3"/>
      <c r="C5" s="3"/>
      <c r="D5" s="3"/>
      <c r="E5" s="3"/>
      <c r="F5" s="3"/>
      <c r="G5" s="3"/>
    </row>
    <row r="6" spans="1:7" x14ac:dyDescent="0.25">
      <c r="A6" s="3" t="s">
        <v>62</v>
      </c>
      <c r="B6" s="3"/>
      <c r="C6" s="3"/>
      <c r="D6" s="3"/>
      <c r="E6" s="3"/>
      <c r="F6" s="3"/>
      <c r="G6" s="3"/>
    </row>
    <row r="7" spans="1:7" x14ac:dyDescent="0.25">
      <c r="A7" s="3" t="s">
        <v>63</v>
      </c>
      <c r="B7" s="3"/>
      <c r="C7" s="3"/>
      <c r="D7" s="3"/>
      <c r="E7" s="3"/>
      <c r="F7" s="3"/>
      <c r="G7" s="3"/>
    </row>
    <row r="8" spans="1:7" x14ac:dyDescent="0.25">
      <c r="A8" s="3" t="s">
        <v>64</v>
      </c>
      <c r="B8" s="3"/>
      <c r="C8" s="3"/>
      <c r="D8" s="3"/>
      <c r="E8" s="3"/>
      <c r="F8" s="3"/>
      <c r="G8" s="3"/>
    </row>
    <row r="10" spans="1:7" x14ac:dyDescent="0.25">
      <c r="A10" s="5" t="s">
        <v>65</v>
      </c>
      <c r="B10" s="5"/>
      <c r="C10" s="5"/>
      <c r="D10" s="5"/>
      <c r="E10" s="5"/>
      <c r="F10" s="5"/>
      <c r="G10" s="5"/>
    </row>
    <row r="11" ht="38" customHeight="1" spans="1:7" x14ac:dyDescent="0.25">
      <c r="A11" s="6" t="s">
        <v>66</v>
      </c>
      <c r="B11" s="6"/>
      <c r="C11" s="6"/>
      <c r="D11" s="6"/>
      <c r="E11" s="6"/>
      <c r="F11" s="6"/>
      <c r="G11" s="6"/>
    </row>
    <row r="13" spans="1:3" x14ac:dyDescent="0.25">
      <c r="A13" s="7" t="s">
        <v>67</v>
      </c>
      <c r="B13" s="7" t="s">
        <v>68</v>
      </c>
      <c r="C13" s="7" t="s">
        <v>69</v>
      </c>
    </row>
    <row r="14" spans="1:3" x14ac:dyDescent="0.25">
      <c r="A14" s="3">
        <v>1</v>
      </c>
      <c r="B14" s="3">
        <v>0.1</v>
      </c>
      <c r="C14" s="3">
        <v>0.1</v>
      </c>
    </row>
    <row r="15" spans="1:3" x14ac:dyDescent="0.25">
      <c r="A15" s="3">
        <v>2</v>
      </c>
      <c r="B15" s="3">
        <v>0.08</v>
      </c>
      <c r="C15" s="3">
        <v>0.1</v>
      </c>
    </row>
    <row r="16" spans="1:3" x14ac:dyDescent="0.25">
      <c r="A16" s="3">
        <v>3</v>
      </c>
      <c r="B16" s="3">
        <v>0.09</v>
      </c>
      <c r="C16" s="3">
        <v>0.1</v>
      </c>
    </row>
    <row r="17" spans="1:3" x14ac:dyDescent="0.25">
      <c r="A17" s="3">
        <v>4</v>
      </c>
      <c r="B17" s="3">
        <v>0.09</v>
      </c>
      <c r="C17" s="3">
        <v>0.09</v>
      </c>
    </row>
    <row r="18" spans="1:3" x14ac:dyDescent="0.25">
      <c r="A18" s="3">
        <v>5</v>
      </c>
      <c r="B18" s="3">
        <v>0.09</v>
      </c>
      <c r="C18" s="3">
        <v>0.1</v>
      </c>
    </row>
    <row r="19" spans="1:3" x14ac:dyDescent="0.25">
      <c r="A19" s="3">
        <v>6</v>
      </c>
      <c r="B19" s="3">
        <v>0.09</v>
      </c>
      <c r="C19" s="3">
        <v>0.11</v>
      </c>
    </row>
    <row r="20" spans="1:3" x14ac:dyDescent="0.25">
      <c r="A20" s="3">
        <v>7</v>
      </c>
      <c r="B20" s="3">
        <v>0.09</v>
      </c>
      <c r="C20" s="3">
        <v>0.09</v>
      </c>
    </row>
    <row r="21" spans="1:3" x14ac:dyDescent="0.25">
      <c r="A21" s="3">
        <v>8</v>
      </c>
      <c r="B21" s="3">
        <v>0.1</v>
      </c>
      <c r="C21" s="3">
        <v>0.12</v>
      </c>
    </row>
    <row r="22" spans="1:3" x14ac:dyDescent="0.25">
      <c r="A22" s="3">
        <v>9</v>
      </c>
      <c r="B22" s="3">
        <v>0.09</v>
      </c>
      <c r="C22" s="3">
        <v>0.09</v>
      </c>
    </row>
    <row r="23" spans="1:3" x14ac:dyDescent="0.25">
      <c r="A23" s="3">
        <v>10</v>
      </c>
      <c r="B23" s="3">
        <v>0.09</v>
      </c>
      <c r="C23" s="3">
        <v>0.1</v>
      </c>
    </row>
    <row r="25" spans="1:5" x14ac:dyDescent="0.25">
      <c r="A25" s="8" t="s">
        <v>70</v>
      </c>
      <c r="B25" s="8" t="s">
        <v>71</v>
      </c>
      <c r="C25" s="8" t="s">
        <v>72</v>
      </c>
      <c r="D25" s="8" t="s">
        <v>73</v>
      </c>
      <c r="E25" s="8" t="s">
        <v>74</v>
      </c>
    </row>
    <row r="26" spans="1:5" x14ac:dyDescent="0.25">
      <c r="A26" s="3" t="s">
        <v>75</v>
      </c>
      <c r="B26" s="3">
        <f>COUNT(B14:C23)</f>
      </c>
      <c r="C26" s="3">
        <f>COUNT(B14:C23)</f>
      </c>
      <c r="D26" s="9">
        <v>20</v>
      </c>
      <c r="E26" s="10">
        <f>C26-D26</f>
      </c>
    </row>
    <row r="27" spans="1:5" x14ac:dyDescent="0.25">
      <c r="A27" s="3" t="s">
        <v>76</v>
      </c>
      <c r="B27" s="3" t="s">
        <v>77</v>
      </c>
      <c r="C27" s="3">
        <f>AVERAGE(B14:C23)</f>
      </c>
      <c r="D27" s="9">
        <v>0.09550000000000002</v>
      </c>
      <c r="E27" s="10">
        <f>C27-D27</f>
      </c>
    </row>
    <row r="28" spans="1:5" x14ac:dyDescent="0.25">
      <c r="A28" s="3" t="s">
        <v>78</v>
      </c>
      <c r="B28" s="3" t="s">
        <v>79</v>
      </c>
      <c r="C28" s="3">
        <f>STDEV(B14:C23)</f>
      </c>
      <c r="D28" s="9">
        <v>0.00887041208323017</v>
      </c>
      <c r="E28" s="10">
        <f>C28-D28</f>
      </c>
    </row>
    <row r="29" spans="1:5" x14ac:dyDescent="0.25">
      <c r="A29" s="3" t="s">
        <v>80</v>
      </c>
      <c r="B29" s="3" t="s">
        <v>81</v>
      </c>
      <c r="C29" s="3">
        <f>AVERAGE(B14:C23)+3*STDEV(B14:C23)</f>
      </c>
      <c r="D29" s="9">
        <v>0.12211123624969053</v>
      </c>
      <c r="E29" s="10">
        <f>C29-D29</f>
      </c>
    </row>
    <row r="30" spans="1:5" x14ac:dyDescent="0.25">
      <c r="A30" s="3" t="s">
        <v>82</v>
      </c>
      <c r="B30" s="3" t="s">
        <v>83</v>
      </c>
      <c r="C30" s="3">
        <f>AVERAGE(B14:C23)+10*STDEV(B14:C23)</f>
      </c>
      <c r="D30" s="9">
        <v>0.1842041208323017</v>
      </c>
      <c r="E30" s="10">
        <f>C30-D30</f>
      </c>
    </row>
    <row r="33" spans="1:7" x14ac:dyDescent="0.25">
      <c r="A33" s="5" t="s">
        <v>84</v>
      </c>
      <c r="B33" s="5"/>
      <c r="C33" s="5"/>
      <c r="D33" s="5"/>
      <c r="E33" s="5"/>
      <c r="F33" s="5"/>
      <c r="G33" s="5"/>
    </row>
    <row r="34" ht="38" customHeight="1" spans="1:7" x14ac:dyDescent="0.25">
      <c r="A34" s="6" t="s">
        <v>66</v>
      </c>
      <c r="B34" s="6"/>
      <c r="C34" s="6"/>
      <c r="D34" s="6"/>
      <c r="E34" s="6"/>
      <c r="F34" s="6"/>
      <c r="G34" s="6"/>
    </row>
    <row r="36" spans="1:3" x14ac:dyDescent="0.25">
      <c r="A36" s="7" t="s">
        <v>67</v>
      </c>
      <c r="B36" s="7" t="s">
        <v>68</v>
      </c>
      <c r="C36" s="7" t="s">
        <v>69</v>
      </c>
    </row>
    <row r="37" spans="1:3" x14ac:dyDescent="0.25">
      <c r="A37" s="3">
        <v>1</v>
      </c>
      <c r="B37" s="3">
        <v>0.11</v>
      </c>
      <c r="C37" s="3">
        <v>0.1051</v>
      </c>
    </row>
    <row r="38" spans="1:3" x14ac:dyDescent="0.25">
      <c r="A38" s="3">
        <v>2</v>
      </c>
      <c r="B38" s="3">
        <v>0.1</v>
      </c>
      <c r="C38" s="3">
        <v>0.10531</v>
      </c>
    </row>
    <row r="39" spans="1:3" x14ac:dyDescent="0.25">
      <c r="A39" s="3">
        <v>3</v>
      </c>
      <c r="B39" s="3">
        <v>0.1</v>
      </c>
      <c r="C39" s="3">
        <v>0.10201</v>
      </c>
    </row>
    <row r="40" spans="1:3" x14ac:dyDescent="0.25">
      <c r="A40" s="3">
        <v>4</v>
      </c>
      <c r="B40" s="3">
        <v>0.1</v>
      </c>
      <c r="C40" s="3">
        <v>0.10257</v>
      </c>
    </row>
    <row r="41" spans="1:3" x14ac:dyDescent="0.25">
      <c r="A41" s="3">
        <v>5</v>
      </c>
      <c r="B41" s="3">
        <v>0.1</v>
      </c>
      <c r="C41" s="3">
        <v>0.11108</v>
      </c>
    </row>
    <row r="42" spans="1:3" x14ac:dyDescent="0.25">
      <c r="A42" s="3">
        <v>6</v>
      </c>
      <c r="B42" s="3">
        <v>0.1</v>
      </c>
      <c r="C42" s="3">
        <v>0.11451</v>
      </c>
    </row>
    <row r="43" spans="1:3" x14ac:dyDescent="0.25">
      <c r="A43" s="3">
        <v>7</v>
      </c>
      <c r="B43" s="3">
        <v>0.1</v>
      </c>
      <c r="C43" s="3">
        <v>0.10985</v>
      </c>
    </row>
    <row r="44" spans="1:3" x14ac:dyDescent="0.25">
      <c r="A44" s="3">
        <v>8</v>
      </c>
      <c r="B44" s="3">
        <v>0.11</v>
      </c>
      <c r="C44" s="3">
        <v>0.10988</v>
      </c>
    </row>
    <row r="45" spans="1:3" x14ac:dyDescent="0.25">
      <c r="A45" s="3">
        <v>9</v>
      </c>
      <c r="B45" s="3">
        <v>0.1</v>
      </c>
      <c r="C45" s="3">
        <v>0.09689</v>
      </c>
    </row>
    <row r="46" spans="1:3" x14ac:dyDescent="0.25">
      <c r="A46" s="3">
        <v>10</v>
      </c>
      <c r="B46" s="3">
        <v>0.1</v>
      </c>
      <c r="C46" s="3">
        <v>0.11263</v>
      </c>
    </row>
    <row r="48" spans="1:5" x14ac:dyDescent="0.25">
      <c r="A48" s="8" t="s">
        <v>70</v>
      </c>
      <c r="B48" s="8" t="s">
        <v>71</v>
      </c>
      <c r="C48" s="8" t="s">
        <v>72</v>
      </c>
      <c r="D48" s="8" t="s">
        <v>73</v>
      </c>
      <c r="E48" s="8" t="s">
        <v>74</v>
      </c>
    </row>
    <row r="49" spans="1:5" x14ac:dyDescent="0.25">
      <c r="A49" s="3" t="s">
        <v>75</v>
      </c>
      <c r="B49" s="3">
        <f>COUNT(B37:C46)</f>
      </c>
      <c r="C49" s="3">
        <f>COUNT(B37:C46)</f>
      </c>
      <c r="D49" s="9">
        <v>20</v>
      </c>
      <c r="E49" s="10">
        <f>C49-D49</f>
      </c>
    </row>
    <row r="50" spans="1:5" x14ac:dyDescent="0.25">
      <c r="A50" s="3" t="s">
        <v>76</v>
      </c>
      <c r="B50" s="3" t="s">
        <v>85</v>
      </c>
      <c r="C50" s="3">
        <f>AVERAGE(B37:C46)</f>
      </c>
      <c r="D50" s="9">
        <v>0.10449150000000003</v>
      </c>
      <c r="E50" s="10">
        <f>C50-D50</f>
      </c>
    </row>
    <row r="51" spans="1:5" x14ac:dyDescent="0.25">
      <c r="A51" s="3" t="s">
        <v>78</v>
      </c>
      <c r="B51" s="3" t="s">
        <v>86</v>
      </c>
      <c r="C51" s="3">
        <f>STDEV(B37:C46)</f>
      </c>
      <c r="D51" s="9">
        <v>0.005421749838916349</v>
      </c>
      <c r="E51" s="10">
        <f>C51-D51</f>
      </c>
    </row>
    <row r="52" spans="1:5" x14ac:dyDescent="0.25">
      <c r="A52" s="3" t="s">
        <v>80</v>
      </c>
      <c r="B52" s="3" t="s">
        <v>87</v>
      </c>
      <c r="C52" s="3">
        <f>AVERAGE(B37:C46)+3*STDEV(B37:C46)</f>
      </c>
      <c r="D52" s="9">
        <v>0.12075674951674907</v>
      </c>
      <c r="E52" s="10">
        <f>C52-D52</f>
      </c>
    </row>
    <row r="53" spans="1:5" x14ac:dyDescent="0.25">
      <c r="A53" s="3" t="s">
        <v>82</v>
      </c>
      <c r="B53" s="3" t="s">
        <v>88</v>
      </c>
      <c r="C53" s="3">
        <f>AVERAGE(B37:C46)+10*STDEV(B37:C46)</f>
      </c>
      <c r="D53" s="9">
        <v>0.15870899838916352</v>
      </c>
      <c r="E53" s="10">
        <f>C53-D53</f>
      </c>
    </row>
  </sheetData>
  <mergeCells count="11">
    <mergeCell ref="A1:G1"/>
    <mergeCell ref="A3:G3"/>
    <mergeCell ref="A4:G4"/>
    <mergeCell ref="A5:G5"/>
    <mergeCell ref="A6:G6"/>
    <mergeCell ref="A7:G7"/>
    <mergeCell ref="A8:G8"/>
    <mergeCell ref="A10:G10"/>
    <mergeCell ref="A11:G11"/>
    <mergeCell ref="A33:G33"/>
    <mergeCell ref="A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42" customWidth="1"/>
    <col min="2" max="5" width="22" customWidth="1"/>
    <col min="6" max="6" width="18" customWidth="1"/>
  </cols>
  <sheetData>
    <row r="1" ht="24" customHeight="1" spans="1:6" x14ac:dyDescent="0.25">
      <c r="A1" s="1" t="s">
        <v>89</v>
      </c>
      <c r="B1" s="1"/>
      <c r="C1" s="1"/>
      <c r="D1" s="1"/>
      <c r="E1" s="1"/>
      <c r="F1" s="1"/>
    </row>
    <row r="3" spans="1:6" x14ac:dyDescent="0.25">
      <c r="A3" s="4" t="s">
        <v>90</v>
      </c>
      <c r="B3" s="4"/>
      <c r="C3" s="4"/>
      <c r="D3" s="4"/>
      <c r="E3" s="4"/>
      <c r="F3" s="4"/>
    </row>
    <row r="4" spans="1:6" x14ac:dyDescent="0.25">
      <c r="A4" s="3" t="s">
        <v>91</v>
      </c>
      <c r="B4" s="3"/>
      <c r="C4" s="3"/>
      <c r="D4" s="3"/>
      <c r="E4" s="3"/>
      <c r="F4" s="3"/>
    </row>
    <row r="5" spans="1:6" x14ac:dyDescent="0.25">
      <c r="A5" s="3" t="s">
        <v>92</v>
      </c>
      <c r="B5" s="3"/>
      <c r="C5" s="3"/>
      <c r="D5" s="3"/>
      <c r="E5" s="3"/>
      <c r="F5" s="3"/>
    </row>
    <row r="6" spans="1:6" x14ac:dyDescent="0.25">
      <c r="A6" s="3" t="s">
        <v>93</v>
      </c>
      <c r="B6" s="3"/>
      <c r="C6" s="3"/>
      <c r="D6" s="3"/>
      <c r="E6" s="3"/>
      <c r="F6" s="3"/>
    </row>
    <row r="7" spans="1:6" x14ac:dyDescent="0.25">
      <c r="A7" s="3" t="s">
        <v>94</v>
      </c>
      <c r="B7" s="3"/>
      <c r="C7" s="3"/>
      <c r="D7" s="3"/>
      <c r="E7" s="3"/>
      <c r="F7" s="3"/>
    </row>
    <row r="8" spans="1:6" x14ac:dyDescent="0.25">
      <c r="A8" s="3" t="s">
        <v>95</v>
      </c>
      <c r="B8" s="3"/>
      <c r="C8" s="3"/>
      <c r="D8" s="3"/>
      <c r="E8" s="3"/>
      <c r="F8" s="3"/>
    </row>
    <row r="9" spans="1:6" x14ac:dyDescent="0.25">
      <c r="A9" s="3" t="s">
        <v>96</v>
      </c>
      <c r="B9" s="3"/>
      <c r="C9" s="3"/>
      <c r="D9" s="3"/>
      <c r="E9" s="3"/>
      <c r="F9" s="3"/>
    </row>
    <row r="10" spans="1:6" x14ac:dyDescent="0.25">
      <c r="A10" s="3" t="s">
        <v>97</v>
      </c>
      <c r="B10" s="3"/>
      <c r="C10" s="3"/>
      <c r="D10" s="3"/>
      <c r="E10" s="3"/>
      <c r="F10" s="3"/>
    </row>
    <row r="11" spans="1:6" x14ac:dyDescent="0.25">
      <c r="A11" s="3" t="s">
        <v>98</v>
      </c>
      <c r="B11" s="3"/>
      <c r="C11" s="3"/>
      <c r="D11" s="3"/>
      <c r="E11" s="3"/>
      <c r="F11" s="3"/>
    </row>
    <row r="13" spans="1:6" x14ac:dyDescent="0.25">
      <c r="A13" s="5" t="s">
        <v>99</v>
      </c>
      <c r="B13" s="5"/>
      <c r="C13" s="5"/>
      <c r="D13" s="5"/>
      <c r="E13" s="5"/>
      <c r="F13" s="5"/>
    </row>
    <row r="15" spans="1:6" x14ac:dyDescent="0.25">
      <c r="A15" s="7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7" t="s">
        <v>105</v>
      </c>
    </row>
    <row r="16" spans="1:6" x14ac:dyDescent="0.25">
      <c r="A16" s="3" t="s">
        <v>106</v>
      </c>
      <c r="B16" s="3">
        <v>0.01</v>
      </c>
      <c r="C16" s="3">
        <v>773</v>
      </c>
      <c r="D16" s="3">
        <f>SLOPE(C16:C21,B16:B21)*B16+INTERCEPT(C16:C21,B16:B21)</f>
      </c>
      <c r="E16" s="3">
        <f>C16-D16</f>
      </c>
      <c r="F16" s="3">
        <f>(C16-D16)^2</f>
      </c>
    </row>
    <row r="17" spans="1:6" x14ac:dyDescent="0.25">
      <c r="A17" s="3" t="s">
        <v>107</v>
      </c>
      <c r="B17" s="3">
        <v>0.05</v>
      </c>
      <c r="C17" s="3">
        <v>4756</v>
      </c>
      <c r="D17" s="3">
        <f>SLOPE(C16:C21,B16:B21)*B17+INTERCEPT(C16:C21,B16:B21)</f>
      </c>
      <c r="E17" s="3">
        <f>C17-D17</f>
      </c>
      <c r="F17" s="3">
        <f>(C17-D17)^2</f>
      </c>
    </row>
    <row r="18" spans="1:6" x14ac:dyDescent="0.25">
      <c r="A18" s="3" t="s">
        <v>108</v>
      </c>
      <c r="B18" s="3">
        <v>0.1</v>
      </c>
      <c r="C18" s="3">
        <v>11750.67</v>
      </c>
      <c r="D18" s="3">
        <f>SLOPE(C16:C21,B16:B21)*B18+INTERCEPT(C16:C21,B16:B21)</f>
      </c>
      <c r="E18" s="3">
        <f>C18-D18</f>
      </c>
      <c r="F18" s="3">
        <f>(C18-D18)^2</f>
      </c>
    </row>
    <row r="19" spans="1:6" x14ac:dyDescent="0.25">
      <c r="A19" s="3" t="s">
        <v>109</v>
      </c>
      <c r="B19" s="3">
        <v>0.15</v>
      </c>
      <c r="C19" s="3">
        <v>20449</v>
      </c>
      <c r="D19" s="3">
        <f>SLOPE(C16:C21,B16:B21)*B19+INTERCEPT(C16:C21,B16:B21)</f>
      </c>
      <c r="E19" s="3">
        <f>C19-D19</f>
      </c>
      <c r="F19" s="3">
        <f>(C19-D19)^2</f>
      </c>
    </row>
    <row r="20" spans="1:6" x14ac:dyDescent="0.25">
      <c r="A20" s="3" t="s">
        <v>110</v>
      </c>
      <c r="B20" s="3">
        <v>0.2</v>
      </c>
      <c r="C20" s="3">
        <v>25948.33</v>
      </c>
      <c r="D20" s="3">
        <f>SLOPE(C16:C21,B16:B21)*B20+INTERCEPT(C16:C21,B16:B21)</f>
      </c>
      <c r="E20" s="3">
        <f>C20-D20</f>
      </c>
      <c r="F20" s="3">
        <f>(C20-D20)^2</f>
      </c>
    </row>
    <row r="21" spans="1:6" x14ac:dyDescent="0.25">
      <c r="A21" s="3" t="s">
        <v>111</v>
      </c>
      <c r="B21" s="3">
        <v>0.25</v>
      </c>
      <c r="C21" s="3">
        <v>31267</v>
      </c>
      <c r="D21" s="3">
        <f>SLOPE(C16:C21,B16:B21)*B21+INTERCEPT(C16:C21,B16:B21)</f>
      </c>
      <c r="E21" s="3">
        <f>C21-D21</f>
      </c>
      <c r="F21" s="3">
        <f>(C21-D21)^2</f>
      </c>
    </row>
    <row r="23" spans="1:5" x14ac:dyDescent="0.25">
      <c r="A23" s="8" t="s">
        <v>70</v>
      </c>
      <c r="B23" s="8" t="s">
        <v>112</v>
      </c>
      <c r="C23" s="8" t="s">
        <v>72</v>
      </c>
      <c r="D23" s="8" t="s">
        <v>73</v>
      </c>
      <c r="E23" s="8" t="s">
        <v>74</v>
      </c>
    </row>
    <row r="24" spans="1:5" x14ac:dyDescent="0.25">
      <c r="A24" s="3" t="s">
        <v>113</v>
      </c>
      <c r="B24" s="3" t="s">
        <v>114</v>
      </c>
      <c r="C24" s="3">
        <f>COUNT(B16:B21)</f>
      </c>
      <c r="D24" s="9">
        <v>6</v>
      </c>
      <c r="E24" s="10">
        <f>C24-D24</f>
      </c>
    </row>
    <row r="25" spans="1:5" x14ac:dyDescent="0.25">
      <c r="A25" s="3" t="s">
        <v>115</v>
      </c>
      <c r="B25" s="3" t="s">
        <v>116</v>
      </c>
      <c r="C25" s="3">
        <f>SLOPE(C16:C21,B16:B21)</f>
      </c>
      <c r="D25" s="9">
        <v>132293.29838709682</v>
      </c>
      <c r="E25" s="10">
        <f>C25-D25</f>
      </c>
    </row>
    <row r="26" spans="1:5" x14ac:dyDescent="0.25">
      <c r="A26" s="3" t="s">
        <v>117</v>
      </c>
      <c r="B26" s="3" t="s">
        <v>118</v>
      </c>
      <c r="C26" s="3">
        <f>INTERCEPT(C16:C21,B16:B21)</f>
      </c>
      <c r="D26" s="9">
        <v>-933.1511290322645</v>
      </c>
      <c r="E26" s="10">
        <f>C26-D26</f>
      </c>
    </row>
    <row r="27" spans="1:5" x14ac:dyDescent="0.25">
      <c r="A27" s="3" t="s">
        <v>119</v>
      </c>
      <c r="B27" s="3" t="s">
        <v>120</v>
      </c>
      <c r="C27" s="3">
        <f>PEARSON(B16:B21,C16:C21)</f>
      </c>
      <c r="D27" s="9">
        <v>0.996830058042224</v>
      </c>
      <c r="E27" s="10">
        <f>C27-D27</f>
      </c>
    </row>
    <row r="28" spans="1:5" x14ac:dyDescent="0.25">
      <c r="A28" s="3" t="s">
        <v>121</v>
      </c>
      <c r="B28" s="3" t="s">
        <v>122</v>
      </c>
      <c r="C28" s="3">
        <f>RSQ(C16:C21,B16:B21)</f>
      </c>
      <c r="D28" s="9">
        <v>0.9936701646164637</v>
      </c>
      <c r="E28" s="10">
        <f>C28-D28</f>
      </c>
    </row>
    <row r="29" spans="1:3" x14ac:dyDescent="0.25">
      <c r="A29" s="3" t="s">
        <v>123</v>
      </c>
      <c r="B29" s="3" t="s">
        <v>124</v>
      </c>
      <c r="C29" s="3">
        <f>STEYX(C16:C21,B16:B21)</f>
      </c>
    </row>
    <row r="30" spans="1:5" x14ac:dyDescent="0.25">
      <c r="A30" s="3" t="s">
        <v>125</v>
      </c>
      <c r="B30" s="3" t="s">
        <v>126</v>
      </c>
      <c r="C30" s="3">
        <f>MAX(B16:B21)</f>
      </c>
      <c r="D30" s="9">
        <v>0.25</v>
      </c>
      <c r="E30" s="10">
        <f>C30-D30</f>
      </c>
    </row>
    <row r="31" spans="1:5" x14ac:dyDescent="0.25">
      <c r="A31" s="3" t="s">
        <v>127</v>
      </c>
      <c r="B31" s="3" t="s">
        <v>128</v>
      </c>
      <c r="C31" s="3">
        <f>AVERAGE(B16:B21)</f>
      </c>
      <c r="D31" s="9">
        <v>0.12666666666666668</v>
      </c>
      <c r="E31" s="10">
        <f>C31-D31</f>
      </c>
    </row>
    <row r="32" spans="1:3" x14ac:dyDescent="0.25">
      <c r="A32" s="3" t="s">
        <v>129</v>
      </c>
      <c r="B32" s="3" t="s">
        <v>130</v>
      </c>
      <c r="C32" s="3">
        <f>SUM(F16:F21)</f>
      </c>
    </row>
    <row r="33" spans="1:4" x14ac:dyDescent="0.25">
      <c r="A33" s="3" t="s">
        <v>131</v>
      </c>
      <c r="C33" s="3" t="s">
        <v>132</v>
      </c>
      <c r="D33" s="9" t="s">
        <v>132</v>
      </c>
    </row>
    <row r="34" spans="1:4" x14ac:dyDescent="0.25">
      <c r="A34" s="3" t="s">
        <v>133</v>
      </c>
      <c r="C34" s="3">
        <v>0.0070476629415465765</v>
      </c>
      <c r="D34" s="9">
        <v>0.0070476629415465765</v>
      </c>
    </row>
    <row r="35" spans="1:4" x14ac:dyDescent="0.25">
      <c r="A35" s="3" t="s">
        <v>134</v>
      </c>
      <c r="C35" s="3">
        <v>0.041596633173833046</v>
      </c>
      <c r="D35" s="9">
        <v>0.041596633173833046</v>
      </c>
    </row>
    <row r="38" spans="1:6" x14ac:dyDescent="0.25">
      <c r="A38" s="5" t="s">
        <v>135</v>
      </c>
      <c r="B38" s="5"/>
      <c r="C38" s="5"/>
      <c r="D38" s="5"/>
      <c r="E38" s="5"/>
      <c r="F38" s="5"/>
    </row>
    <row r="40" spans="1:6" x14ac:dyDescent="0.25">
      <c r="A40" s="7" t="s">
        <v>100</v>
      </c>
      <c r="B40" s="7" t="s">
        <v>101</v>
      </c>
      <c r="C40" s="7" t="s">
        <v>102</v>
      </c>
      <c r="D40" s="7" t="s">
        <v>103</v>
      </c>
      <c r="E40" s="7" t="s">
        <v>104</v>
      </c>
      <c r="F40" s="7" t="s">
        <v>105</v>
      </c>
    </row>
    <row r="41" spans="1:6" x14ac:dyDescent="0.25">
      <c r="A41" s="3" t="s">
        <v>106</v>
      </c>
      <c r="B41" s="3">
        <v>0.01</v>
      </c>
      <c r="C41" s="3">
        <v>1559.67</v>
      </c>
      <c r="D41" s="3">
        <f>SLOPE(C41:C46,B41:B46)*B41+INTERCEPT(C41:C46,B41:B46)</f>
      </c>
      <c r="E41" s="3">
        <f>C41-D41</f>
      </c>
      <c r="F41" s="3">
        <f>(C41-D41)^2</f>
      </c>
    </row>
    <row r="42" spans="1:6" x14ac:dyDescent="0.25">
      <c r="A42" s="3" t="s">
        <v>107</v>
      </c>
      <c r="B42" s="3">
        <v>0.05</v>
      </c>
      <c r="C42" s="3">
        <v>7789</v>
      </c>
      <c r="D42" s="3">
        <f>SLOPE(C41:C46,B41:B46)*B42+INTERCEPT(C41:C46,B41:B46)</f>
      </c>
      <c r="E42" s="3">
        <f>C42-D42</f>
      </c>
      <c r="F42" s="3">
        <f>(C42-D42)^2</f>
      </c>
    </row>
    <row r="43" spans="1:6" x14ac:dyDescent="0.25">
      <c r="A43" s="3" t="s">
        <v>108</v>
      </c>
      <c r="B43" s="3">
        <v>0.1</v>
      </c>
      <c r="C43" s="3">
        <v>18512.67</v>
      </c>
      <c r="D43" s="3">
        <f>SLOPE(C41:C46,B41:B46)*B43+INTERCEPT(C41:C46,B41:B46)</f>
      </c>
      <c r="E43" s="3">
        <f>C43-D43</f>
      </c>
      <c r="F43" s="3">
        <f>(C43-D43)^2</f>
      </c>
    </row>
    <row r="44" spans="1:6" x14ac:dyDescent="0.25">
      <c r="A44" s="3" t="s">
        <v>109</v>
      </c>
      <c r="B44" s="3">
        <v>0.15</v>
      </c>
      <c r="C44" s="3">
        <v>31433.33</v>
      </c>
      <c r="D44" s="3">
        <f>SLOPE(C41:C46,B41:B46)*B44+INTERCEPT(C41:C46,B41:B46)</f>
      </c>
      <c r="E44" s="3">
        <f>C44-D44</f>
      </c>
      <c r="F44" s="3">
        <f>(C44-D44)^2</f>
      </c>
    </row>
    <row r="45" spans="1:6" x14ac:dyDescent="0.25">
      <c r="A45" s="3" t="s">
        <v>110</v>
      </c>
      <c r="B45" s="3">
        <v>0.2</v>
      </c>
      <c r="C45" s="3">
        <v>39735.33</v>
      </c>
      <c r="D45" s="3">
        <f>SLOPE(C41:C46,B41:B46)*B45+INTERCEPT(C41:C46,B41:B46)</f>
      </c>
      <c r="E45" s="3">
        <f>C45-D45</f>
      </c>
      <c r="F45" s="3">
        <f>(C45-D45)^2</f>
      </c>
    </row>
    <row r="46" spans="1:6" x14ac:dyDescent="0.25">
      <c r="A46" s="3" t="s">
        <v>111</v>
      </c>
      <c r="B46" s="3">
        <v>0.25</v>
      </c>
      <c r="C46" s="3">
        <v>46885</v>
      </c>
      <c r="D46" s="3">
        <f>SLOPE(C41:C46,B41:B46)*B46+INTERCEPT(C41:C46,B41:B46)</f>
      </c>
      <c r="E46" s="3">
        <f>C46-D46</f>
      </c>
      <c r="F46" s="3">
        <f>(C46-D46)^2</f>
      </c>
    </row>
    <row r="48" spans="1:5" x14ac:dyDescent="0.25">
      <c r="A48" s="8" t="s">
        <v>70</v>
      </c>
      <c r="B48" s="8" t="s">
        <v>112</v>
      </c>
      <c r="C48" s="8" t="s">
        <v>72</v>
      </c>
      <c r="D48" s="8" t="s">
        <v>73</v>
      </c>
      <c r="E48" s="8" t="s">
        <v>74</v>
      </c>
    </row>
    <row r="49" spans="1:5" x14ac:dyDescent="0.25">
      <c r="A49" s="3" t="s">
        <v>113</v>
      </c>
      <c r="B49" s="3" t="s">
        <v>136</v>
      </c>
      <c r="C49" s="3">
        <f>COUNT(B41:B46)</f>
      </c>
      <c r="D49" s="9">
        <v>6</v>
      </c>
      <c r="E49" s="10">
        <f>C49-D49</f>
      </c>
    </row>
    <row r="50" spans="1:5" x14ac:dyDescent="0.25">
      <c r="A50" s="3" t="s">
        <v>115</v>
      </c>
      <c r="B50" s="3" t="s">
        <v>137</v>
      </c>
      <c r="C50" s="3">
        <f>SLOPE(C41:C46,B41:B46)</f>
      </c>
      <c r="D50" s="9">
        <v>197348.28709677423</v>
      </c>
      <c r="E50" s="10">
        <f>C50-D50</f>
      </c>
    </row>
    <row r="51" spans="1:5" x14ac:dyDescent="0.25">
      <c r="A51" s="3" t="s">
        <v>117</v>
      </c>
      <c r="B51" s="3" t="s">
        <v>138</v>
      </c>
      <c r="C51" s="3">
        <f>INTERCEPT(C41:C46,B41:B46)</f>
      </c>
      <c r="D51" s="9">
        <v>-678.2830322580703</v>
      </c>
      <c r="E51" s="10">
        <f>C51-D51</f>
      </c>
    </row>
    <row r="52" spans="1:5" x14ac:dyDescent="0.25">
      <c r="A52" s="3" t="s">
        <v>119</v>
      </c>
      <c r="B52" s="3" t="s">
        <v>139</v>
      </c>
      <c r="C52" s="3">
        <f>PEARSON(B41:B46,C41:C46)</f>
      </c>
      <c r="D52" s="9">
        <v>0.9960907019826822</v>
      </c>
      <c r="E52" s="10">
        <f>C52-D52</f>
      </c>
    </row>
    <row r="53" spans="1:5" x14ac:dyDescent="0.25">
      <c r="A53" s="3" t="s">
        <v>121</v>
      </c>
      <c r="B53" s="3" t="s">
        <v>140</v>
      </c>
      <c r="C53" s="3">
        <f>RSQ(C41:C46,B41:B46)</f>
      </c>
      <c r="D53" s="9">
        <v>0.9921966865763526</v>
      </c>
      <c r="E53" s="10">
        <f>C53-D53</f>
      </c>
    </row>
    <row r="54" spans="1:3" x14ac:dyDescent="0.25">
      <c r="A54" s="3" t="s">
        <v>123</v>
      </c>
      <c r="B54" s="3" t="s">
        <v>141</v>
      </c>
      <c r="C54" s="3">
        <f>STEYX(C41:C46,B41:B46)</f>
      </c>
    </row>
    <row r="55" spans="1:5" x14ac:dyDescent="0.25">
      <c r="A55" s="3" t="s">
        <v>125</v>
      </c>
      <c r="B55" s="3" t="s">
        <v>142</v>
      </c>
      <c r="C55" s="3">
        <f>MAX(B41:B46)</f>
      </c>
      <c r="D55" s="9">
        <v>0.25</v>
      </c>
      <c r="E55" s="10">
        <f>C55-D55</f>
      </c>
    </row>
    <row r="56" spans="1:5" x14ac:dyDescent="0.25">
      <c r="A56" s="3" t="s">
        <v>127</v>
      </c>
      <c r="B56" s="3" t="s">
        <v>143</v>
      </c>
      <c r="C56" s="3">
        <f>AVERAGE(B41:B46)</f>
      </c>
      <c r="D56" s="9">
        <v>0.12666666666666668</v>
      </c>
      <c r="E56" s="10">
        <f>C56-D56</f>
      </c>
    </row>
    <row r="57" spans="1:3" x14ac:dyDescent="0.25">
      <c r="A57" s="3" t="s">
        <v>129</v>
      </c>
      <c r="B57" s="3" t="s">
        <v>144</v>
      </c>
      <c r="C57" s="3">
        <f>SUM(F41:F46)</f>
      </c>
    </row>
    <row r="58" spans="1:4" x14ac:dyDescent="0.25">
      <c r="A58" s="3" t="s">
        <v>131</v>
      </c>
      <c r="C58" s="3" t="s">
        <v>145</v>
      </c>
      <c r="D58" s="9" t="s">
        <v>145</v>
      </c>
    </row>
    <row r="59" spans="1:4" x14ac:dyDescent="0.25">
      <c r="A59" s="3" t="s">
        <v>133</v>
      </c>
      <c r="C59" s="3">
        <v>0.007828067785168221</v>
      </c>
      <c r="D59" s="9">
        <v>0.007828067785168221</v>
      </c>
    </row>
    <row r="60" spans="1:4" x14ac:dyDescent="0.25">
      <c r="A60" s="3" t="s">
        <v>134</v>
      </c>
      <c r="C60" s="3">
        <v>0.04165840693941142</v>
      </c>
      <c r="D60" s="9">
        <v>0.04165840693941142</v>
      </c>
    </row>
  </sheetData>
  <mergeCells count="12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A38:F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FormatPr defaultRowHeight="15" outlineLevelRow="0" outlineLevelCol="0" x14ac:dyDescent="55"/>
  <cols>
    <col min="1" max="1" width="40" customWidth="1"/>
    <col min="2" max="5" width="24" customWidth="1"/>
    <col min="6" max="6" width="14" customWidth="1"/>
  </cols>
  <sheetData>
    <row r="1" ht="24" customHeight="1" spans="1:6" x14ac:dyDescent="0.25">
      <c r="A1" s="1" t="s">
        <v>146</v>
      </c>
      <c r="B1" s="1"/>
      <c r="C1" s="1"/>
      <c r="D1" s="1"/>
      <c r="E1" s="1"/>
      <c r="F1" s="1"/>
    </row>
    <row r="3" spans="1:6" x14ac:dyDescent="0.25">
      <c r="A3" s="4" t="s">
        <v>147</v>
      </c>
      <c r="B3" s="4"/>
      <c r="C3" s="4"/>
      <c r="D3" s="4"/>
      <c r="E3" s="4"/>
      <c r="F3" s="4"/>
    </row>
    <row r="4" spans="1:6" x14ac:dyDescent="0.25">
      <c r="A4" s="3" t="s">
        <v>148</v>
      </c>
      <c r="B4" s="3"/>
      <c r="C4" s="3"/>
      <c r="D4" s="3"/>
      <c r="E4" s="3"/>
      <c r="F4" s="3"/>
    </row>
    <row r="5" spans="1:6" x14ac:dyDescent="0.25">
      <c r="A5" s="3" t="s">
        <v>149</v>
      </c>
      <c r="B5" s="3"/>
      <c r="C5" s="3"/>
      <c r="D5" s="3"/>
      <c r="E5" s="3"/>
      <c r="F5" s="3"/>
    </row>
    <row r="6" spans="1:6" x14ac:dyDescent="0.25">
      <c r="A6" s="3" t="s">
        <v>150</v>
      </c>
      <c r="B6" s="3"/>
      <c r="C6" s="3"/>
      <c r="D6" s="3"/>
      <c r="E6" s="3"/>
      <c r="F6" s="3"/>
    </row>
    <row r="7" spans="1:6" x14ac:dyDescent="0.25">
      <c r="A7" s="3" t="s">
        <v>151</v>
      </c>
      <c r="B7" s="3"/>
      <c r="C7" s="3"/>
      <c r="D7" s="3"/>
      <c r="E7" s="3"/>
      <c r="F7" s="3"/>
    </row>
    <row r="8" spans="1:6" x14ac:dyDescent="0.25">
      <c r="A8" s="3" t="s">
        <v>152</v>
      </c>
      <c r="B8" s="3"/>
      <c r="C8" s="3"/>
      <c r="D8" s="3"/>
      <c r="E8" s="3"/>
      <c r="F8" s="3"/>
    </row>
    <row r="9" spans="1:6" x14ac:dyDescent="0.25">
      <c r="A9" s="3" t="s">
        <v>153</v>
      </c>
      <c r="B9" s="3"/>
      <c r="C9" s="3"/>
      <c r="D9" s="3"/>
      <c r="E9" s="3"/>
      <c r="F9" s="3"/>
    </row>
    <row r="10" spans="1:6" x14ac:dyDescent="0.25">
      <c r="A10" s="3" t="s">
        <v>154</v>
      </c>
      <c r="B10" s="3"/>
      <c r="C10" s="3"/>
      <c r="D10" s="3"/>
      <c r="E10" s="3"/>
      <c r="F10" s="3"/>
    </row>
    <row r="11" spans="1:6" x14ac:dyDescent="0.25">
      <c r="A11" s="3" t="s">
        <v>155</v>
      </c>
      <c r="B11" s="3"/>
      <c r="C11" s="3"/>
      <c r="D11" s="3"/>
      <c r="E11" s="3"/>
      <c r="F11" s="3"/>
    </row>
    <row r="12" spans="1:6" x14ac:dyDescent="0.25">
      <c r="A12" s="3" t="s">
        <v>156</v>
      </c>
      <c r="B12" s="3"/>
      <c r="C12" s="3"/>
      <c r="D12" s="3"/>
      <c r="E12" s="3"/>
      <c r="F12" s="3"/>
    </row>
    <row r="14" spans="1:6" x14ac:dyDescent="0.25">
      <c r="A14" s="5" t="s">
        <v>157</v>
      </c>
      <c r="B14" s="5"/>
      <c r="C14" s="5"/>
      <c r="D14" s="5"/>
      <c r="E14" s="5"/>
      <c r="F14" s="5"/>
    </row>
    <row r="16" spans="1:6" x14ac:dyDescent="0.25">
      <c r="A16" s="11" t="s">
        <v>158</v>
      </c>
      <c r="B16" s="11"/>
      <c r="C16" s="11"/>
      <c r="D16" s="11"/>
      <c r="E16" s="11"/>
      <c r="F16" s="11"/>
    </row>
    <row r="17" spans="1:5" x14ac:dyDescent="0.25">
      <c r="A17" s="7" t="s">
        <v>67</v>
      </c>
      <c r="B17" s="7" t="s">
        <v>159</v>
      </c>
      <c r="C17" s="7" t="s">
        <v>160</v>
      </c>
      <c r="D17" s="7" t="s">
        <v>161</v>
      </c>
      <c r="E17" s="7" t="s">
        <v>162</v>
      </c>
    </row>
    <row r="18" spans="1:5" x14ac:dyDescent="0.25">
      <c r="A18" s="3">
        <v>1</v>
      </c>
      <c r="B18" s="3">
        <v>0.504</v>
      </c>
      <c r="C18" s="3">
        <v>0.508</v>
      </c>
      <c r="D18" s="3">
        <v>0.517</v>
      </c>
      <c r="E18" s="3">
        <v>0.505</v>
      </c>
    </row>
    <row r="19" spans="1:5" x14ac:dyDescent="0.25">
      <c r="A19" s="3">
        <v>2</v>
      </c>
      <c r="B19" s="3">
        <v>0.46</v>
      </c>
      <c r="C19" s="3">
        <v>0.498</v>
      </c>
      <c r="D19" s="3">
        <v>0.509</v>
      </c>
      <c r="E19" s="3">
        <v>0.525</v>
      </c>
    </row>
    <row r="20" spans="1:5" x14ac:dyDescent="0.25">
      <c r="A20" s="3">
        <v>3</v>
      </c>
      <c r="B20" s="3">
        <v>0.46</v>
      </c>
      <c r="C20" s="3">
        <v>0.472</v>
      </c>
      <c r="D20" s="3">
        <v>0.486</v>
      </c>
      <c r="E20" s="3">
        <v>0.514</v>
      </c>
    </row>
    <row r="21" spans="1:5" x14ac:dyDescent="0.25">
      <c r="A21" s="3">
        <v>4</v>
      </c>
      <c r="B21" s="3">
        <v>0.489</v>
      </c>
      <c r="C21" s="3">
        <v>0.472</v>
      </c>
      <c r="D21" s="3">
        <v>0.551</v>
      </c>
      <c r="E21" s="3">
        <v>0.54</v>
      </c>
    </row>
    <row r="22" spans="1:5" x14ac:dyDescent="0.25">
      <c r="A22" s="3">
        <v>5</v>
      </c>
      <c r="B22" s="3">
        <v>0.452</v>
      </c>
      <c r="C22" s="3">
        <v>0.487</v>
      </c>
      <c r="D22" s="3">
        <v>0.537</v>
      </c>
      <c r="E22" s="3">
        <v>0.517</v>
      </c>
    </row>
    <row r="23" spans="1:5" x14ac:dyDescent="0.25">
      <c r="A23" s="3">
        <v>6</v>
      </c>
      <c r="B23" s="3">
        <v>0.457</v>
      </c>
      <c r="C23" s="3">
        <v>0.49</v>
      </c>
      <c r="D23" s="3">
        <v>0.542</v>
      </c>
      <c r="E23" s="3">
        <v>0.528</v>
      </c>
    </row>
    <row r="25" spans="1:5" x14ac:dyDescent="0.25">
      <c r="A25" s="8" t="s">
        <v>70</v>
      </c>
      <c r="B25" s="8" t="s">
        <v>112</v>
      </c>
      <c r="C25" s="8" t="s">
        <v>70</v>
      </c>
      <c r="D25" s="8" t="s">
        <v>163</v>
      </c>
      <c r="E25" s="8" t="s">
        <v>74</v>
      </c>
    </row>
    <row r="26" spans="1:5" x14ac:dyDescent="0.25">
      <c r="A26" s="12" t="s">
        <v>164</v>
      </c>
      <c r="B26" s="12"/>
      <c r="C26" s="12"/>
      <c r="D26" s="12"/>
      <c r="E26" s="12"/>
    </row>
    <row r="27" spans="1:5" x14ac:dyDescent="0.25">
      <c r="A27" s="3" t="s">
        <v>165</v>
      </c>
      <c r="B27" s="3" t="s">
        <v>166</v>
      </c>
      <c r="C27" s="3">
        <f>COUNT(B18:C23)</f>
        <v>12</v>
      </c>
      <c r="D27" s="9">
        <v>12</v>
      </c>
      <c r="E27" s="10">
        <f>C27-D27</f>
        <v>0</v>
      </c>
    </row>
    <row r="28" spans="1:5" x14ac:dyDescent="0.25">
      <c r="A28" s="3" t="s">
        <v>167</v>
      </c>
      <c r="B28" s="3" t="s">
        <v>168</v>
      </c>
      <c r="C28" s="3">
        <f>AVERAGE(B18:C23)</f>
        <v>0.47908333333333336</v>
      </c>
      <c r="D28" s="9">
        <v>0.47908333333333336</v>
      </c>
      <c r="E28" s="10">
        <f>C28-D28</f>
        <v>0</v>
      </c>
    </row>
    <row r="29" spans="1:5" x14ac:dyDescent="0.25">
      <c r="A29" s="3" t="s">
        <v>169</v>
      </c>
      <c r="B29" s="3" t="s">
        <v>170</v>
      </c>
      <c r="C29" s="3">
        <f>STDEV(B18:C23)</f>
        <v>0.01941161008418946</v>
      </c>
      <c r="D29" s="9">
        <v>0.01941161008418946</v>
      </c>
      <c r="E29" s="10">
        <f>C29-D29</f>
        <v>0</v>
      </c>
    </row>
    <row r="30" spans="1:5" x14ac:dyDescent="0.25">
      <c r="A30" s="3" t="s">
        <v>171</v>
      </c>
      <c r="B30" s="3" t="s">
        <v>172</v>
      </c>
      <c r="C30" s="3">
        <f>STDEV(B18:C23)/AVERAGE(B18:C23)</f>
        <v>0.040518232911858326</v>
      </c>
      <c r="D30" s="9">
        <v>0.040518232911858326</v>
      </c>
      <c r="E30" s="10">
        <f>C30-D30</f>
        <v>0</v>
      </c>
    </row>
    <row r="31" spans="1:5" x14ac:dyDescent="0.25">
      <c r="A31" s="3" t="s">
        <v>173</v>
      </c>
      <c r="B31" s="3" t="s">
        <v>174</v>
      </c>
      <c r="C31" s="3">
        <f>2.83*STDEV(B18:C23)</f>
        <v>0.05493485653825617</v>
      </c>
      <c r="D31" s="9">
        <v>0.05493485653825617</v>
      </c>
      <c r="E31" s="10">
        <f>C31-D31</f>
        <v>0</v>
      </c>
    </row>
    <row r="32" spans="1:5" x14ac:dyDescent="0.25">
      <c r="A32" s="3" t="s">
        <v>175</v>
      </c>
      <c r="B32" s="3" t="s">
        <v>176</v>
      </c>
      <c r="C32" s="3">
        <f>((STDEV(B18:C23)/AVERAGE(B18:C23))^2)*(COUNT(B18:C23)-1)</f>
        <v>0.018058999181295592</v>
      </c>
      <c r="D32" s="9">
        <v>0.018058999181295592</v>
      </c>
      <c r="E32" s="10">
        <f>C32-D32</f>
        <v>0</v>
      </c>
    </row>
    <row r="34" spans="1:5" x14ac:dyDescent="0.25">
      <c r="A34" s="13" t="s">
        <v>177</v>
      </c>
      <c r="B34" s="13"/>
      <c r="C34" s="13"/>
      <c r="D34" s="13"/>
      <c r="E34" s="13"/>
    </row>
    <row r="35" spans="1:5" x14ac:dyDescent="0.25">
      <c r="A35" s="3" t="s">
        <v>178</v>
      </c>
      <c r="B35" s="3" t="s">
        <v>179</v>
      </c>
      <c r="C35" s="3">
        <f>MAX(MAX(B18:C23)-AVERAGE(B18:C23),AVERAGE(B18:C23)-MIN(B18:C23))</f>
        <v>0.028916666666666646</v>
      </c>
      <c r="D35" s="9">
        <v>0.028916666666666646</v>
      </c>
      <c r="E35" s="10">
        <f>C35-D35</f>
        <v>0</v>
      </c>
    </row>
    <row r="36" spans="1:5" x14ac:dyDescent="0.25">
      <c r="A36" s="3" t="s">
        <v>180</v>
      </c>
      <c r="B36" s="3" t="s">
        <v>170</v>
      </c>
      <c r="C36" s="3">
        <f>STDEV(B18:C23)</f>
        <v>0.01941161008418946</v>
      </c>
      <c r="D36" s="9">
        <v>0.01941161008418946</v>
      </c>
      <c r="E36" s="10">
        <f>C36-D36</f>
        <v>0</v>
      </c>
    </row>
    <row r="37" spans="1:5" x14ac:dyDescent="0.25">
      <c r="A37" s="3" t="s">
        <v>181</v>
      </c>
      <c r="B37" s="3" t="s">
        <v>182</v>
      </c>
      <c r="C37" s="3">
        <f>MAX(MAX(B18:C23)-AVERAGE(B18:C23),AVERAGE(B18:C23)-MIN(B18:C23))/STDEV(B18:C23)</f>
        <v>1.4896583303112476</v>
      </c>
      <c r="D37" s="9">
        <v>1.4896583303112476</v>
      </c>
      <c r="E37" s="10">
        <f>C37-D37</f>
        <v>0</v>
      </c>
    </row>
    <row r="38" spans="1:5" x14ac:dyDescent="0.25">
      <c r="A38" s="3" t="s">
        <v>183</v>
      </c>
      <c r="B38" s="3" t="s">
        <v>166</v>
      </c>
      <c r="C38" s="3">
        <f>COUNT(B18:C23)</f>
        <v>12</v>
      </c>
      <c r="D38" s="9">
        <v>12</v>
      </c>
      <c r="E38" s="10">
        <f>C38-D38</f>
        <v>0</v>
      </c>
    </row>
    <row r="39" spans="1:5" x14ac:dyDescent="0.25">
      <c r="A39" s="3" t="s">
        <v>184</v>
      </c>
      <c r="B39" s="3" t="s">
        <v>185</v>
      </c>
      <c r="C39" s="3">
        <f>IFERROR(VLOOKUP(C38,'8. Grubbs Tablosu'!A2:B30,2,FALSE),2.745)</f>
        <v>2.285</v>
      </c>
      <c r="D39" s="9">
        <v>2.285</v>
      </c>
      <c r="E39" s="10">
        <f>C39-D39</f>
        <v>0</v>
      </c>
    </row>
    <row r="40" spans="1:4" x14ac:dyDescent="0.25">
      <c r="A40" s="2" t="s">
        <v>186</v>
      </c>
      <c r="B40" s="3" t="s">
        <v>187</v>
      </c>
      <c r="C40" s="3" t="str">
        <f>IF((MAX(MAX(B18:C23)-AVERAGE(B18:C23),AVERAGE(B18:C23)-MIN(B18:C23))/STDEV(B18:C23))&gt;C39,"AYKIRI VAR (değeri inceleyin)","AYKIRI YOK (veri kabul)")</f>
        <v>AYKIRI YOK (veri kabul)</v>
      </c>
      <c r="D40" s="9" t="s">
        <v>188</v>
      </c>
    </row>
    <row r="42" spans="1:5" x14ac:dyDescent="0.25">
      <c r="A42" s="12" t="s">
        <v>189</v>
      </c>
      <c r="B42" s="12"/>
      <c r="C42" s="12"/>
      <c r="D42" s="12"/>
      <c r="E42" s="12"/>
    </row>
    <row r="43" spans="1:5" x14ac:dyDescent="0.25">
      <c r="A43" s="3" t="s">
        <v>165</v>
      </c>
      <c r="B43" s="3" t="s">
        <v>190</v>
      </c>
      <c r="C43" s="3">
        <f>COUNT(D18:E23)</f>
        <v>12</v>
      </c>
      <c r="D43" s="9">
        <v>12</v>
      </c>
      <c r="E43" s="10">
        <f>C43-D43</f>
        <v>0</v>
      </c>
    </row>
    <row r="44" spans="1:5" x14ac:dyDescent="0.25">
      <c r="A44" s="3" t="s">
        <v>191</v>
      </c>
      <c r="B44" s="3" t="s">
        <v>192</v>
      </c>
      <c r="C44" s="3">
        <f>AVERAGE(D18:E23)</f>
        <v>0.5225833333333334</v>
      </c>
      <c r="D44" s="9">
        <v>0.5225833333333334</v>
      </c>
      <c r="E44" s="10">
        <f>C44-D44</f>
        <v>0</v>
      </c>
    </row>
    <row r="45" spans="1:5" x14ac:dyDescent="0.25">
      <c r="A45" s="3" t="s">
        <v>193</v>
      </c>
      <c r="B45" s="3" t="s">
        <v>194</v>
      </c>
      <c r="C45" s="3">
        <f>STDEV(D18:E23)</f>
        <v>0.01833753395402861</v>
      </c>
      <c r="D45" s="9">
        <v>0.01833753395402861</v>
      </c>
      <c r="E45" s="10">
        <f>C45-D45</f>
        <v>0</v>
      </c>
    </row>
    <row r="46" spans="1:5" x14ac:dyDescent="0.25">
      <c r="A46" s="3" t="s">
        <v>195</v>
      </c>
      <c r="B46" s="3" t="s">
        <v>196</v>
      </c>
      <c r="C46" s="3">
        <f>STDEV(D18:E23)/AVERAGE(D18:E23)</f>
        <v>0.0350901622465864</v>
      </c>
      <c r="D46" s="9">
        <v>0.0350901622465864</v>
      </c>
      <c r="E46" s="10">
        <f>C46-D46</f>
        <v>0</v>
      </c>
    </row>
    <row r="47" spans="1:5" x14ac:dyDescent="0.25">
      <c r="A47" s="3" t="s">
        <v>173</v>
      </c>
      <c r="B47" s="3" t="s">
        <v>197</v>
      </c>
      <c r="C47" s="3">
        <f>2.83*STDEV(D18:E23)</f>
        <v>0.05189522108990097</v>
      </c>
      <c r="D47" s="9">
        <v>0.05189522108990097</v>
      </c>
      <c r="E47" s="10">
        <f>C47-D47</f>
        <v>0</v>
      </c>
    </row>
    <row r="48" spans="1:5" x14ac:dyDescent="0.25">
      <c r="A48" s="3" t="s">
        <v>198</v>
      </c>
      <c r="B48" s="3" t="s">
        <v>199</v>
      </c>
      <c r="C48" s="3">
        <f>((STDEV(D18:E23)/AVERAGE(D18:E23))^2)*(COUNT(D18:E23)-1)</f>
        <v>0.01354451435140933</v>
      </c>
      <c r="D48" s="9">
        <v>0.01354451435140933</v>
      </c>
      <c r="E48" s="10">
        <f>C48-D48</f>
        <v>0</v>
      </c>
    </row>
    <row r="50" spans="1:5" x14ac:dyDescent="0.25">
      <c r="A50" s="13" t="s">
        <v>200</v>
      </c>
      <c r="B50" s="13"/>
      <c r="C50" s="13"/>
      <c r="D50" s="13"/>
      <c r="E50" s="13"/>
    </row>
    <row r="51" spans="1:5" x14ac:dyDescent="0.25">
      <c r="A51" s="3" t="s">
        <v>178</v>
      </c>
      <c r="B51" s="3" t="s">
        <v>201</v>
      </c>
      <c r="C51" s="3">
        <f>MAX(MAX(D18:E23)-AVERAGE(D18:E23),AVERAGE(D18:E23)-MIN(D18:E23))</f>
        <v>0.03658333333333341</v>
      </c>
      <c r="D51" s="9">
        <v>0.03658333333333341</v>
      </c>
      <c r="E51" s="10">
        <f>C51-D51</f>
        <v>0</v>
      </c>
    </row>
    <row r="52" spans="1:5" x14ac:dyDescent="0.25">
      <c r="A52" s="3" t="s">
        <v>180</v>
      </c>
      <c r="B52" s="3" t="s">
        <v>194</v>
      </c>
      <c r="C52" s="3">
        <f>STDEV(D18:E23)</f>
        <v>0.01833753395402861</v>
      </c>
      <c r="D52" s="9">
        <v>0.01833753395402861</v>
      </c>
      <c r="E52" s="10">
        <f>C52-D52</f>
        <v>0</v>
      </c>
    </row>
    <row r="53" spans="1:5" x14ac:dyDescent="0.25">
      <c r="A53" s="3" t="s">
        <v>181</v>
      </c>
      <c r="B53" s="3" t="s">
        <v>202</v>
      </c>
      <c r="C53" s="3">
        <f>MAX(MAX(D18:E23)-AVERAGE(D18:E23),AVERAGE(D18:E23)-MIN(D18:E23))/STDEV(D18:E23)</f>
        <v>1.9949974421340524</v>
      </c>
      <c r="D53" s="9">
        <v>1.9949974421340524</v>
      </c>
      <c r="E53" s="10">
        <f>C53-D53</f>
        <v>0</v>
      </c>
    </row>
    <row r="54" spans="1:5" x14ac:dyDescent="0.25">
      <c r="A54" s="3" t="s">
        <v>183</v>
      </c>
      <c r="B54" s="3" t="s">
        <v>190</v>
      </c>
      <c r="C54" s="3">
        <f>COUNT(D18:E23)</f>
        <v>12</v>
      </c>
      <c r="D54" s="9">
        <v>12</v>
      </c>
      <c r="E54" s="10">
        <f>C54-D54</f>
        <v>0</v>
      </c>
    </row>
    <row r="55" spans="1:5" x14ac:dyDescent="0.25">
      <c r="A55" s="3" t="s">
        <v>184</v>
      </c>
      <c r="B55" s="3" t="s">
        <v>203</v>
      </c>
      <c r="C55" s="3">
        <f>IFERROR(VLOOKUP(C54,'8. Grubbs Tablosu'!A2:B30,2,FALSE),2.745)</f>
        <v>2.285</v>
      </c>
      <c r="D55" s="9">
        <v>2.285</v>
      </c>
      <c r="E55" s="10">
        <f>C55-D55</f>
        <v>0</v>
      </c>
    </row>
    <row r="56" spans="1:4" x14ac:dyDescent="0.25">
      <c r="A56" s="2" t="s">
        <v>186</v>
      </c>
      <c r="B56" s="3" t="s">
        <v>204</v>
      </c>
      <c r="C56" s="3" t="str">
        <f>IF((MAX(MAX(D18:E23)-AVERAGE(D18:E23),AVERAGE(D18:E23)-MIN(D18:E23))/STDEV(D18:E23))&gt;C55,"AYKIRI VAR (değeri inceleyin)","AYKIRI YOK (veri kabul)")</f>
        <v>AYKIRI YOK (veri kabul)</v>
      </c>
      <c r="D56" s="9" t="s">
        <v>188</v>
      </c>
    </row>
    <row r="58" spans="1:5" x14ac:dyDescent="0.25">
      <c r="A58" s="14" t="s">
        <v>205</v>
      </c>
      <c r="B58" s="14"/>
      <c r="C58" s="14"/>
      <c r="D58" s="14"/>
      <c r="E58" s="14"/>
    </row>
    <row r="59" spans="1:5" x14ac:dyDescent="0.25">
      <c r="A59" s="3" t="s">
        <v>206</v>
      </c>
      <c r="B59" s="3" t="s">
        <v>207</v>
      </c>
      <c r="C59" s="3">
        <f>SQRT((C32+C48)/((C27-1)+(C43-1)))</f>
        <v>0.0379014952527691</v>
      </c>
      <c r="D59" s="9">
        <v>0.0379014952527691</v>
      </c>
      <c r="E59" s="10">
        <f>C59-D59</f>
        <v>0</v>
      </c>
    </row>
    <row r="62" spans="1:6" x14ac:dyDescent="0.25">
      <c r="A62" s="11" t="s">
        <v>208</v>
      </c>
      <c r="B62" s="11"/>
      <c r="C62" s="11"/>
      <c r="D62" s="11"/>
      <c r="E62" s="11"/>
      <c r="F62" s="11"/>
    </row>
    <row r="63" spans="1:5" x14ac:dyDescent="0.25">
      <c r="A63" s="7" t="s">
        <v>67</v>
      </c>
      <c r="B63" s="7" t="s">
        <v>159</v>
      </c>
      <c r="C63" s="7" t="s">
        <v>160</v>
      </c>
      <c r="D63" s="7" t="s">
        <v>161</v>
      </c>
      <c r="E63" s="7" t="s">
        <v>162</v>
      </c>
    </row>
    <row r="64" spans="1:5" x14ac:dyDescent="0.25">
      <c r="A64" s="3">
        <v>1</v>
      </c>
      <c r="B64" s="3">
        <v>1.029</v>
      </c>
      <c r="C64" s="3">
        <v>1.004</v>
      </c>
      <c r="D64" s="3">
        <v>1.054</v>
      </c>
      <c r="E64" s="3">
        <v>0.995</v>
      </c>
    </row>
    <row r="65" spans="1:5" x14ac:dyDescent="0.25">
      <c r="A65" s="3">
        <v>2</v>
      </c>
      <c r="B65" s="3">
        <v>1.044</v>
      </c>
      <c r="C65" s="3">
        <v>1.058</v>
      </c>
      <c r="D65" s="3">
        <v>0.979</v>
      </c>
      <c r="E65" s="3">
        <v>1.042</v>
      </c>
    </row>
    <row r="66" spans="1:5" x14ac:dyDescent="0.25">
      <c r="A66" s="3">
        <v>3</v>
      </c>
      <c r="B66" s="3">
        <v>1.028</v>
      </c>
      <c r="C66" s="3">
        <v>0.965</v>
      </c>
      <c r="D66" s="3">
        <v>1.045</v>
      </c>
      <c r="E66" s="3">
        <v>1.046</v>
      </c>
    </row>
    <row r="67" spans="1:5" x14ac:dyDescent="0.25">
      <c r="A67" s="3">
        <v>4</v>
      </c>
      <c r="B67" s="3">
        <v>0.961</v>
      </c>
      <c r="C67" s="3">
        <v>1.022</v>
      </c>
      <c r="D67" s="3">
        <v>1.067</v>
      </c>
      <c r="E67" s="3">
        <v>1.016</v>
      </c>
    </row>
    <row r="68" spans="1:5" x14ac:dyDescent="0.25">
      <c r="A68" s="3">
        <v>5</v>
      </c>
      <c r="B68" s="3">
        <v>1.027</v>
      </c>
      <c r="C68" s="3">
        <v>0.971</v>
      </c>
      <c r="D68" s="3">
        <v>1.046</v>
      </c>
      <c r="E68" s="3">
        <v>1.033</v>
      </c>
    </row>
    <row r="69" spans="1:5" x14ac:dyDescent="0.25">
      <c r="A69" s="3">
        <v>6</v>
      </c>
      <c r="B69" s="3">
        <v>0.985</v>
      </c>
      <c r="C69" s="3">
        <v>1.013</v>
      </c>
      <c r="D69" s="3">
        <v>1.011</v>
      </c>
      <c r="E69" s="3">
        <v>1.037</v>
      </c>
    </row>
    <row r="71" spans="1:5" x14ac:dyDescent="0.25">
      <c r="A71" s="8" t="s">
        <v>70</v>
      </c>
      <c r="B71" s="8" t="s">
        <v>112</v>
      </c>
      <c r="C71" s="8" t="s">
        <v>70</v>
      </c>
      <c r="D71" s="8" t="s">
        <v>163</v>
      </c>
      <c r="E71" s="8" t="s">
        <v>74</v>
      </c>
    </row>
    <row r="72" spans="1:5" x14ac:dyDescent="0.25">
      <c r="A72" s="12" t="s">
        <v>164</v>
      </c>
      <c r="B72" s="12"/>
      <c r="C72" s="12"/>
      <c r="D72" s="12"/>
      <c r="E72" s="12"/>
    </row>
    <row r="73" spans="1:5" x14ac:dyDescent="0.25">
      <c r="A73" s="3" t="s">
        <v>165</v>
      </c>
      <c r="B73" s="3" t="s">
        <v>209</v>
      </c>
      <c r="C73" s="3">
        <f>COUNT(B64:C69)</f>
        <v>12</v>
      </c>
      <c r="D73" s="9">
        <v>12</v>
      </c>
      <c r="E73" s="10">
        <f>C73-D73</f>
        <v>0</v>
      </c>
    </row>
    <row r="74" spans="1:5" x14ac:dyDescent="0.25">
      <c r="A74" s="3" t="s">
        <v>167</v>
      </c>
      <c r="B74" s="3" t="s">
        <v>210</v>
      </c>
      <c r="C74" s="3">
        <f>AVERAGE(B64:C69)</f>
        <v>1.0089166666666667</v>
      </c>
      <c r="D74" s="9">
        <v>1.0089166666666667</v>
      </c>
      <c r="E74" s="10">
        <f>C74-D74</f>
        <v>0</v>
      </c>
    </row>
    <row r="75" spans="1:5" x14ac:dyDescent="0.25">
      <c r="A75" s="3" t="s">
        <v>169</v>
      </c>
      <c r="B75" s="3" t="s">
        <v>211</v>
      </c>
      <c r="C75" s="3">
        <f>STDEV(B64:C69)</f>
        <v>0.03188176547333869</v>
      </c>
      <c r="D75" s="9">
        <v>0.03188176547333869</v>
      </c>
      <c r="E75" s="10">
        <f>C75-D75</f>
        <v>0</v>
      </c>
    </row>
    <row r="76" spans="1:5" x14ac:dyDescent="0.25">
      <c r="A76" s="3" t="s">
        <v>171</v>
      </c>
      <c r="B76" s="3" t="s">
        <v>212</v>
      </c>
      <c r="C76" s="3">
        <f>STDEV(B64:C69)/AVERAGE(B64:C69)</f>
        <v>0.03159999881721849</v>
      </c>
      <c r="D76" s="9">
        <v>0.03159999881721849</v>
      </c>
      <c r="E76" s="10">
        <f>C76-D76</f>
        <v>0</v>
      </c>
    </row>
    <row r="77" spans="1:5" x14ac:dyDescent="0.25">
      <c r="A77" s="3" t="s">
        <v>173</v>
      </c>
      <c r="B77" s="3" t="s">
        <v>213</v>
      </c>
      <c r="C77" s="3">
        <f>2.83*STDEV(B64:C69)</f>
        <v>0.09022539628954848</v>
      </c>
      <c r="D77" s="9">
        <v>0.09022539628954848</v>
      </c>
      <c r="E77" s="10">
        <f>C77-D77</f>
        <v>0</v>
      </c>
    </row>
    <row r="78" spans="1:5" x14ac:dyDescent="0.25">
      <c r="A78" s="3" t="s">
        <v>175</v>
      </c>
      <c r="B78" s="3" t="s">
        <v>214</v>
      </c>
      <c r="C78" s="3">
        <f>((STDEV(B64:C69)/AVERAGE(B64:C69))^2)*(COUNT(B64:C69)-1)</f>
        <v>0.01098415917773031</v>
      </c>
      <c r="D78" s="9">
        <v>0.01098415917773031</v>
      </c>
      <c r="E78" s="10">
        <f>C78-D78</f>
        <v>0</v>
      </c>
    </row>
    <row r="80" spans="1:5" x14ac:dyDescent="0.25">
      <c r="A80" s="13" t="s">
        <v>177</v>
      </c>
      <c r="B80" s="13"/>
      <c r="C80" s="13"/>
      <c r="D80" s="13"/>
      <c r="E80" s="13"/>
    </row>
    <row r="81" spans="1:5" x14ac:dyDescent="0.25">
      <c r="A81" s="3" t="s">
        <v>178</v>
      </c>
      <c r="B81" s="3" t="s">
        <v>215</v>
      </c>
      <c r="C81" s="3">
        <f>MAX(MAX(B64:C69)-AVERAGE(B64:C69),AVERAGE(B64:C69)-MIN(B64:C69))</f>
        <v>0.04908333333333337</v>
      </c>
      <c r="D81" s="9">
        <v>0.04908333333333337</v>
      </c>
      <c r="E81" s="10">
        <f>C81-D81</f>
        <v>0</v>
      </c>
    </row>
    <row r="82" spans="1:5" x14ac:dyDescent="0.25">
      <c r="A82" s="3" t="s">
        <v>180</v>
      </c>
      <c r="B82" s="3" t="s">
        <v>211</v>
      </c>
      <c r="C82" s="3">
        <f>STDEV(B64:C69)</f>
        <v>0.03188176547333869</v>
      </c>
      <c r="D82" s="9">
        <v>0.03188176547333869</v>
      </c>
      <c r="E82" s="10">
        <f>C82-D82</f>
        <v>0</v>
      </c>
    </row>
    <row r="83" spans="1:5" x14ac:dyDescent="0.25">
      <c r="A83" s="3" t="s">
        <v>181</v>
      </c>
      <c r="B83" s="3" t="s">
        <v>216</v>
      </c>
      <c r="C83" s="3">
        <f>MAX(MAX(B64:C69)-AVERAGE(B64:C69),AVERAGE(B64:C69)-MIN(B64:C69))/STDEV(B64:C69)</f>
        <v>1.5395425129257536</v>
      </c>
      <c r="D83" s="9">
        <v>1.5395425129257536</v>
      </c>
      <c r="E83" s="10">
        <f>C83-D83</f>
        <v>0</v>
      </c>
    </row>
    <row r="84" spans="1:5" x14ac:dyDescent="0.25">
      <c r="A84" s="3" t="s">
        <v>183</v>
      </c>
      <c r="B84" s="3" t="s">
        <v>209</v>
      </c>
      <c r="C84" s="3">
        <f>COUNT(B64:C69)</f>
        <v>12</v>
      </c>
      <c r="D84" s="9">
        <v>12</v>
      </c>
      <c r="E84" s="10">
        <f>C84-D84</f>
        <v>0</v>
      </c>
    </row>
    <row r="85" spans="1:5" x14ac:dyDescent="0.25">
      <c r="A85" s="3" t="s">
        <v>184</v>
      </c>
      <c r="B85" s="3" t="s">
        <v>217</v>
      </c>
      <c r="C85" s="3">
        <f>IFERROR(VLOOKUP(C84,'8. Grubbs Tablosu'!A2:B30,2,FALSE),2.745)</f>
        <v>2.285</v>
      </c>
      <c r="D85" s="9">
        <v>2.285</v>
      </c>
      <c r="E85" s="10">
        <f>C85-D85</f>
        <v>0</v>
      </c>
    </row>
    <row r="86" spans="1:4" x14ac:dyDescent="0.25">
      <c r="A86" s="2" t="s">
        <v>186</v>
      </c>
      <c r="B86" s="3" t="s">
        <v>218</v>
      </c>
      <c r="C86" s="3" t="str">
        <f>IF((MAX(MAX(B64:C69)-AVERAGE(B64:C69),AVERAGE(B64:C69)-MIN(B64:C69))/STDEV(B64:C69))&gt;C85,"AYKIRI VAR (değeri inceleyin)","AYKIRI YOK (veri kabul)")</f>
        <v>AYKIRI YOK (veri kabul)</v>
      </c>
      <c r="D86" s="9" t="s">
        <v>188</v>
      </c>
    </row>
    <row r="88" spans="1:5" x14ac:dyDescent="0.25">
      <c r="A88" s="12" t="s">
        <v>189</v>
      </c>
      <c r="B88" s="12"/>
      <c r="C88" s="12"/>
      <c r="D88" s="12"/>
      <c r="E88" s="12"/>
    </row>
    <row r="89" spans="1:5" x14ac:dyDescent="0.25">
      <c r="A89" s="3" t="s">
        <v>165</v>
      </c>
      <c r="B89" s="3" t="s">
        <v>219</v>
      </c>
      <c r="C89" s="3">
        <f>COUNT(D64:E69)</f>
        <v>12</v>
      </c>
      <c r="D89" s="9">
        <v>12</v>
      </c>
      <c r="E89" s="10">
        <f>C89-D89</f>
        <v>0</v>
      </c>
    </row>
    <row r="90" spans="1:5" x14ac:dyDescent="0.25">
      <c r="A90" s="3" t="s">
        <v>191</v>
      </c>
      <c r="B90" s="3" t="s">
        <v>220</v>
      </c>
      <c r="C90" s="3">
        <f>AVERAGE(D64:E69)</f>
        <v>1.0309166666666665</v>
      </c>
      <c r="D90" s="9">
        <v>1.0309166666666665</v>
      </c>
      <c r="E90" s="10">
        <f>C90-D90</f>
        <v>0</v>
      </c>
    </row>
    <row r="91" spans="1:5" x14ac:dyDescent="0.25">
      <c r="A91" s="3" t="s">
        <v>193</v>
      </c>
      <c r="B91" s="3" t="s">
        <v>221</v>
      </c>
      <c r="C91" s="3">
        <f>STDEV(D64:E69)</f>
        <v>0.025685009187650633</v>
      </c>
      <c r="D91" s="9">
        <v>0.025685009187650633</v>
      </c>
      <c r="E91" s="10">
        <f>C91-D91</f>
        <v>0</v>
      </c>
    </row>
    <row r="92" spans="1:5" x14ac:dyDescent="0.25">
      <c r="A92" s="3" t="s">
        <v>195</v>
      </c>
      <c r="B92" s="3" t="s">
        <v>222</v>
      </c>
      <c r="C92" s="3">
        <f>STDEV(D64:E69)/AVERAGE(D64:E69)</f>
        <v>0.02491472882158335</v>
      </c>
      <c r="D92" s="9">
        <v>0.02491472882158335</v>
      </c>
      <c r="E92" s="10">
        <f>C92-D92</f>
        <v>0</v>
      </c>
    </row>
    <row r="93" spans="1:5" x14ac:dyDescent="0.25">
      <c r="A93" s="3" t="s">
        <v>173</v>
      </c>
      <c r="B93" s="3" t="s">
        <v>223</v>
      </c>
      <c r="C93" s="3">
        <f>2.83*STDEV(D64:E69)</f>
        <v>0.07268857600105129</v>
      </c>
      <c r="D93" s="9">
        <v>0.07268857600105129</v>
      </c>
      <c r="E93" s="10">
        <f>C93-D93</f>
        <v>0</v>
      </c>
    </row>
    <row r="94" spans="1:5" x14ac:dyDescent="0.25">
      <c r="A94" s="3" t="s">
        <v>198</v>
      </c>
      <c r="B94" s="3" t="s">
        <v>224</v>
      </c>
      <c r="C94" s="3">
        <f>((STDEV(D64:E69)/AVERAGE(D64:E69))^2)*(COUNT(D64:E69)-1)</f>
        <v>0.006828180834783397</v>
      </c>
      <c r="D94" s="9">
        <v>0.006828180834783397</v>
      </c>
      <c r="E94" s="10">
        <f>C94-D94</f>
        <v>0</v>
      </c>
    </row>
    <row r="96" spans="1:5" x14ac:dyDescent="0.25">
      <c r="A96" s="13" t="s">
        <v>200</v>
      </c>
      <c r="B96" s="13"/>
      <c r="C96" s="13"/>
      <c r="D96" s="13"/>
      <c r="E96" s="13"/>
    </row>
    <row r="97" spans="1:5" x14ac:dyDescent="0.25">
      <c r="A97" s="3" t="s">
        <v>178</v>
      </c>
      <c r="B97" s="3" t="s">
        <v>225</v>
      </c>
      <c r="C97" s="3">
        <f>MAX(MAX(D64:E69)-AVERAGE(D64:E69),AVERAGE(D64:E69)-MIN(D64:E69))</f>
        <v>0.0519166666666665</v>
      </c>
      <c r="D97" s="9">
        <v>0.0519166666666665</v>
      </c>
      <c r="E97" s="10">
        <f>C97-D97</f>
        <v>0</v>
      </c>
    </row>
    <row r="98" spans="1:5" x14ac:dyDescent="0.25">
      <c r="A98" s="3" t="s">
        <v>180</v>
      </c>
      <c r="B98" s="3" t="s">
        <v>221</v>
      </c>
      <c r="C98" s="3">
        <f>STDEV(D64:E69)</f>
        <v>0.025685009187650633</v>
      </c>
      <c r="D98" s="9">
        <v>0.025685009187650633</v>
      </c>
      <c r="E98" s="10">
        <f>C98-D98</f>
        <v>0</v>
      </c>
    </row>
    <row r="99" spans="1:5" x14ac:dyDescent="0.25">
      <c r="A99" s="3" t="s">
        <v>181</v>
      </c>
      <c r="B99" s="3" t="s">
        <v>226</v>
      </c>
      <c r="C99" s="3">
        <f>MAX(MAX(D64:E69)-AVERAGE(D64:E69),AVERAGE(D64:E69)-MIN(D64:E69))/STDEV(D64:E69)</f>
        <v>2.0212827757767773</v>
      </c>
      <c r="D99" s="9">
        <v>2.0212827757767773</v>
      </c>
      <c r="E99" s="10">
        <f>C99-D99</f>
        <v>0</v>
      </c>
    </row>
    <row r="100" spans="1:5" x14ac:dyDescent="0.25">
      <c r="A100" s="3" t="s">
        <v>183</v>
      </c>
      <c r="B100" s="3" t="s">
        <v>219</v>
      </c>
      <c r="C100" s="3">
        <f>COUNT(D64:E69)</f>
        <v>12</v>
      </c>
      <c r="D100" s="9">
        <v>12</v>
      </c>
      <c r="E100" s="10">
        <f>C100-D100</f>
        <v>0</v>
      </c>
    </row>
    <row r="101" spans="1:5" x14ac:dyDescent="0.25">
      <c r="A101" s="3" t="s">
        <v>184</v>
      </c>
      <c r="B101" s="3" t="s">
        <v>227</v>
      </c>
      <c r="C101" s="3">
        <f>IFERROR(VLOOKUP(C100,'8. Grubbs Tablosu'!A2:B30,2,FALSE),2.745)</f>
        <v>2.285</v>
      </c>
      <c r="D101" s="9">
        <v>2.285</v>
      </c>
      <c r="E101" s="10">
        <f>C101-D101</f>
        <v>0</v>
      </c>
    </row>
    <row r="102" spans="1:4" x14ac:dyDescent="0.25">
      <c r="A102" s="2" t="s">
        <v>186</v>
      </c>
      <c r="B102" s="3" t="s">
        <v>228</v>
      </c>
      <c r="C102" s="3" t="str">
        <f>IF((MAX(MAX(D64:E69)-AVERAGE(D64:E69),AVERAGE(D64:E69)-MIN(D64:E69))/STDEV(D64:E69))&gt;C101,"AYKIRI VAR (değeri inceleyin)","AYKIRI YOK (veri kabul)")</f>
        <v>AYKIRI YOK (veri kabul)</v>
      </c>
      <c r="D102" s="9" t="s">
        <v>188</v>
      </c>
    </row>
    <row r="104" spans="1:5" x14ac:dyDescent="0.25">
      <c r="A104" s="14" t="s">
        <v>205</v>
      </c>
      <c r="B104" s="14"/>
      <c r="C104" s="14"/>
      <c r="D104" s="14"/>
      <c r="E104" s="14"/>
    </row>
    <row r="105" spans="1:5" x14ac:dyDescent="0.25">
      <c r="A105" s="3" t="s">
        <v>206</v>
      </c>
      <c r="B105" s="3" t="s">
        <v>229</v>
      </c>
      <c r="C105" s="3">
        <f>SQRT((C78+C94)/((C73-1)+(C89-1)))</f>
        <v>0.028454381362992644</v>
      </c>
      <c r="D105" s="9">
        <v>0.028454381362992644</v>
      </c>
      <c r="E105" s="10">
        <f>C105-D105</f>
        <v>0</v>
      </c>
    </row>
    <row r="108" spans="1:6" x14ac:dyDescent="0.25">
      <c r="A108" s="5" t="s">
        <v>230</v>
      </c>
      <c r="B108" s="5"/>
      <c r="C108" s="5"/>
      <c r="D108" s="5"/>
      <c r="E108" s="5"/>
      <c r="F108" s="5"/>
    </row>
    <row r="110" spans="1:6" x14ac:dyDescent="0.25">
      <c r="A110" s="11" t="s">
        <v>231</v>
      </c>
      <c r="B110" s="11"/>
      <c r="C110" s="11"/>
      <c r="D110" s="11"/>
      <c r="E110" s="11"/>
      <c r="F110" s="11"/>
    </row>
    <row r="111" spans="1:5" x14ac:dyDescent="0.25">
      <c r="A111" s="7" t="s">
        <v>67</v>
      </c>
      <c r="B111" s="7" t="s">
        <v>159</v>
      </c>
      <c r="C111" s="7" t="s">
        <v>160</v>
      </c>
      <c r="D111" s="7" t="s">
        <v>161</v>
      </c>
      <c r="E111" s="7" t="s">
        <v>162</v>
      </c>
    </row>
    <row r="112" spans="1:5" x14ac:dyDescent="0.25">
      <c r="A112" s="3">
        <v>1</v>
      </c>
      <c r="B112" s="3">
        <v>0.532</v>
      </c>
      <c r="C112" s="3">
        <v>0.522</v>
      </c>
      <c r="D112" s="3">
        <v>0.504</v>
      </c>
      <c r="E112" s="3">
        <v>0.517</v>
      </c>
    </row>
    <row r="113" spans="1:5" x14ac:dyDescent="0.25">
      <c r="A113" s="3">
        <v>2</v>
      </c>
      <c r="B113" s="3">
        <v>0.509</v>
      </c>
      <c r="C113" s="3">
        <v>0.504</v>
      </c>
      <c r="D113" s="3">
        <v>0.52</v>
      </c>
      <c r="E113" s="3">
        <v>0.518</v>
      </c>
    </row>
    <row r="114" spans="1:5" x14ac:dyDescent="0.25">
      <c r="A114" s="3">
        <v>3</v>
      </c>
      <c r="B114" s="3">
        <v>0.51</v>
      </c>
      <c r="C114" s="3">
        <v>0.486</v>
      </c>
      <c r="D114" s="3">
        <v>0.53</v>
      </c>
      <c r="E114" s="3">
        <v>0.516</v>
      </c>
    </row>
    <row r="115" spans="1:5" x14ac:dyDescent="0.25">
      <c r="A115" s="3">
        <v>4</v>
      </c>
      <c r="B115" s="3">
        <v>0.522</v>
      </c>
      <c r="C115" s="3">
        <v>0.499</v>
      </c>
      <c r="D115" s="3">
        <v>0.523</v>
      </c>
      <c r="E115" s="3">
        <v>0.524</v>
      </c>
    </row>
    <row r="116" spans="1:5" x14ac:dyDescent="0.25">
      <c r="A116" s="3">
        <v>5</v>
      </c>
      <c r="B116" s="3">
        <v>0.493</v>
      </c>
      <c r="C116" s="3">
        <v>0.508</v>
      </c>
      <c r="D116" s="3">
        <v>0.521</v>
      </c>
      <c r="E116" s="3">
        <v>0.498</v>
      </c>
    </row>
    <row r="117" spans="1:5" x14ac:dyDescent="0.25">
      <c r="A117" s="3">
        <v>6</v>
      </c>
      <c r="B117" s="3">
        <v>0.517</v>
      </c>
      <c r="C117" s="3">
        <v>0.512</v>
      </c>
      <c r="D117" s="3">
        <v>0.524</v>
      </c>
      <c r="E117" s="3">
        <v>0.517</v>
      </c>
    </row>
    <row r="119" spans="1:5" x14ac:dyDescent="0.25">
      <c r="A119" s="8" t="s">
        <v>70</v>
      </c>
      <c r="B119" s="8" t="s">
        <v>112</v>
      </c>
      <c r="C119" s="8" t="s">
        <v>70</v>
      </c>
      <c r="D119" s="8" t="s">
        <v>163</v>
      </c>
      <c r="E119" s="8" t="s">
        <v>74</v>
      </c>
    </row>
    <row r="120" spans="1:5" x14ac:dyDescent="0.25">
      <c r="A120" s="12" t="s">
        <v>164</v>
      </c>
      <c r="B120" s="12"/>
      <c r="C120" s="12"/>
      <c r="D120" s="12"/>
      <c r="E120" s="12"/>
    </row>
    <row r="121" spans="1:5" x14ac:dyDescent="0.25">
      <c r="A121" s="3" t="s">
        <v>165</v>
      </c>
      <c r="B121" s="3" t="s">
        <v>232</v>
      </c>
      <c r="C121" s="3">
        <f>COUNT(B112:C117)</f>
        <v>12</v>
      </c>
      <c r="D121" s="9">
        <v>12</v>
      </c>
      <c r="E121" s="10">
        <f>C121-D121</f>
        <v>0</v>
      </c>
    </row>
    <row r="122" spans="1:5" x14ac:dyDescent="0.25">
      <c r="A122" s="3" t="s">
        <v>167</v>
      </c>
      <c r="B122" s="3" t="s">
        <v>233</v>
      </c>
      <c r="C122" s="3">
        <f>AVERAGE(B112:C117)</f>
        <v>0.5095000000000001</v>
      </c>
      <c r="D122" s="9">
        <v>0.5095000000000001</v>
      </c>
      <c r="E122" s="10">
        <f>C122-D122</f>
        <v>0</v>
      </c>
    </row>
    <row r="123" spans="1:5" x14ac:dyDescent="0.25">
      <c r="A123" s="3" t="s">
        <v>169</v>
      </c>
      <c r="B123" s="3" t="s">
        <v>234</v>
      </c>
      <c r="C123" s="3">
        <f>STDEV(B112:C117)</f>
        <v>0.012964987816843847</v>
      </c>
      <c r="D123" s="9">
        <v>0.012964987816843847</v>
      </c>
      <c r="E123" s="10">
        <f>C123-D123</f>
        <v>0</v>
      </c>
    </row>
    <row r="124" spans="1:5" x14ac:dyDescent="0.25">
      <c r="A124" s="3" t="s">
        <v>171</v>
      </c>
      <c r="B124" s="3" t="s">
        <v>235</v>
      </c>
      <c r="C124" s="3">
        <f>STDEV(B112:C117)/AVERAGE(B112:C117)</f>
        <v>0.025446492280360833</v>
      </c>
      <c r="D124" s="9">
        <v>0.025446492280360833</v>
      </c>
      <c r="E124" s="10">
        <f>C124-D124</f>
        <v>0</v>
      </c>
    </row>
    <row r="125" spans="1:5" x14ac:dyDescent="0.25">
      <c r="A125" s="3" t="s">
        <v>173</v>
      </c>
      <c r="B125" s="3" t="s">
        <v>236</v>
      </c>
      <c r="C125" s="3">
        <f>2.83*STDEV(B112:C117)</f>
        <v>0.03669091552166809</v>
      </c>
      <c r="D125" s="9">
        <v>0.03669091552166809</v>
      </c>
      <c r="E125" s="10">
        <f>C125-D125</f>
        <v>0</v>
      </c>
    </row>
    <row r="126" spans="1:5" x14ac:dyDescent="0.25">
      <c r="A126" s="3" t="s">
        <v>175</v>
      </c>
      <c r="B126" s="3" t="s">
        <v>237</v>
      </c>
      <c r="C126" s="3">
        <f>((STDEV(B112:C117)/AVERAGE(B112:C117))^2)*(COUNT(B112:C117)-1)</f>
        <v>0.0071227636631190985</v>
      </c>
      <c r="D126" s="9">
        <v>0.0071227636631190985</v>
      </c>
      <c r="E126" s="10">
        <f>C126-D126</f>
        <v>0</v>
      </c>
    </row>
    <row r="128" spans="1:5" x14ac:dyDescent="0.25">
      <c r="A128" s="13" t="s">
        <v>177</v>
      </c>
      <c r="B128" s="13"/>
      <c r="C128" s="13"/>
      <c r="D128" s="13"/>
      <c r="E128" s="13"/>
    </row>
    <row r="129" spans="1:5" x14ac:dyDescent="0.25">
      <c r="A129" s="3" t="s">
        <v>178</v>
      </c>
      <c r="B129" s="3" t="s">
        <v>238</v>
      </c>
      <c r="C129" s="3">
        <f>MAX(MAX(B112:C117)-AVERAGE(B112:C117),AVERAGE(B112:C117)-MIN(B112:C117))</f>
        <v>0.023500000000000076</v>
      </c>
      <c r="D129" s="9">
        <v>0.023500000000000076</v>
      </c>
      <c r="E129" s="10">
        <f>C129-D129</f>
        <v>0</v>
      </c>
    </row>
    <row r="130" spans="1:5" x14ac:dyDescent="0.25">
      <c r="A130" s="3" t="s">
        <v>180</v>
      </c>
      <c r="B130" s="3" t="s">
        <v>234</v>
      </c>
      <c r="C130" s="3">
        <f>STDEV(B112:C117)</f>
        <v>0.012964987816843847</v>
      </c>
      <c r="D130" s="9">
        <v>0.012964987816843847</v>
      </c>
      <c r="E130" s="10">
        <f>C130-D130</f>
        <v>0</v>
      </c>
    </row>
    <row r="131" spans="1:5" x14ac:dyDescent="0.25">
      <c r="A131" s="3" t="s">
        <v>181</v>
      </c>
      <c r="B131" s="3" t="s">
        <v>239</v>
      </c>
      <c r="C131" s="3">
        <f>MAX(MAX(B112:C117)-AVERAGE(B112:C117),AVERAGE(B112:C117)-MIN(B112:C117))/STDEV(B112:C117)</f>
        <v>1.8125740133337693</v>
      </c>
      <c r="D131" s="9">
        <v>1.8125740133337693</v>
      </c>
      <c r="E131" s="10">
        <f>C131-D131</f>
        <v>0</v>
      </c>
    </row>
    <row r="132" spans="1:5" x14ac:dyDescent="0.25">
      <c r="A132" s="3" t="s">
        <v>183</v>
      </c>
      <c r="B132" s="3" t="s">
        <v>232</v>
      </c>
      <c r="C132" s="3">
        <f>COUNT(B112:C117)</f>
        <v>12</v>
      </c>
      <c r="D132" s="9">
        <v>12</v>
      </c>
      <c r="E132" s="10">
        <f>C132-D132</f>
        <v>0</v>
      </c>
    </row>
    <row r="133" spans="1:5" x14ac:dyDescent="0.25">
      <c r="A133" s="3" t="s">
        <v>184</v>
      </c>
      <c r="B133" s="3" t="s">
        <v>240</v>
      </c>
      <c r="C133" s="3">
        <f>IFERROR(VLOOKUP(C132,'8. Grubbs Tablosu'!A2:B30,2,FALSE),2.745)</f>
        <v>2.285</v>
      </c>
      <c r="D133" s="9">
        <v>2.285</v>
      </c>
      <c r="E133" s="10">
        <f>C133-D133</f>
        <v>0</v>
      </c>
    </row>
    <row r="134" spans="1:4" x14ac:dyDescent="0.25">
      <c r="A134" s="2" t="s">
        <v>186</v>
      </c>
      <c r="B134" s="3" t="s">
        <v>241</v>
      </c>
      <c r="C134" s="3" t="str">
        <f>IF((MAX(MAX(B112:C117)-AVERAGE(B112:C117),AVERAGE(B112:C117)-MIN(B112:C117))/STDEV(B112:C117))&gt;C133,"AYKIRI VAR (değeri inceleyin)","AYKIRI YOK (veri kabul)")</f>
        <v>AYKIRI YOK (veri kabul)</v>
      </c>
      <c r="D134" s="9" t="s">
        <v>188</v>
      </c>
    </row>
    <row r="136" spans="1:5" x14ac:dyDescent="0.25">
      <c r="A136" s="12" t="s">
        <v>189</v>
      </c>
      <c r="B136" s="12"/>
      <c r="C136" s="12"/>
      <c r="D136" s="12"/>
      <c r="E136" s="12"/>
    </row>
    <row r="137" spans="1:5" x14ac:dyDescent="0.25">
      <c r="A137" s="3" t="s">
        <v>165</v>
      </c>
      <c r="B137" s="3" t="s">
        <v>242</v>
      </c>
      <c r="C137" s="3">
        <f>COUNT(D112:E117)</f>
        <v>12</v>
      </c>
      <c r="D137" s="9">
        <v>12</v>
      </c>
      <c r="E137" s="10">
        <f>C137-D137</f>
        <v>0</v>
      </c>
    </row>
    <row r="138" spans="1:5" x14ac:dyDescent="0.25">
      <c r="A138" s="3" t="s">
        <v>191</v>
      </c>
      <c r="B138" s="3" t="s">
        <v>243</v>
      </c>
      <c r="C138" s="3">
        <f>AVERAGE(D112:E117)</f>
        <v>0.5176666666666668</v>
      </c>
      <c r="D138" s="9">
        <v>0.5176666666666668</v>
      </c>
      <c r="E138" s="10">
        <f>C138-D138</f>
        <v>0</v>
      </c>
    </row>
    <row r="139" spans="1:5" x14ac:dyDescent="0.25">
      <c r="A139" s="3" t="s">
        <v>193</v>
      </c>
      <c r="B139" s="3" t="s">
        <v>244</v>
      </c>
      <c r="C139" s="3">
        <f>STDEV(D112:E117)</f>
        <v>0.008814588458740988</v>
      </c>
      <c r="D139" s="9">
        <v>0.008814588458740988</v>
      </c>
      <c r="E139" s="10">
        <f>C139-D139</f>
        <v>0</v>
      </c>
    </row>
    <row r="140" spans="1:5" x14ac:dyDescent="0.25">
      <c r="A140" s="3" t="s">
        <v>195</v>
      </c>
      <c r="B140" s="3" t="s">
        <v>245</v>
      </c>
      <c r="C140" s="3">
        <f>STDEV(D112:E117)/AVERAGE(D112:E117)</f>
        <v>0.01702753726736829</v>
      </c>
      <c r="D140" s="9">
        <v>0.01702753726736829</v>
      </c>
      <c r="E140" s="10">
        <f>C140-D140</f>
        <v>0</v>
      </c>
    </row>
    <row r="141" spans="1:5" x14ac:dyDescent="0.25">
      <c r="A141" s="3" t="s">
        <v>173</v>
      </c>
      <c r="B141" s="3" t="s">
        <v>246</v>
      </c>
      <c r="C141" s="3">
        <f>2.83*STDEV(D112:E117)</f>
        <v>0.024945285338236995</v>
      </c>
      <c r="D141" s="9">
        <v>0.024945285338236995</v>
      </c>
      <c r="E141" s="10">
        <f>C141-D141</f>
        <v>0</v>
      </c>
    </row>
    <row r="142" spans="1:5" x14ac:dyDescent="0.25">
      <c r="A142" s="3" t="s">
        <v>198</v>
      </c>
      <c r="B142" s="3" t="s">
        <v>247</v>
      </c>
      <c r="C142" s="3">
        <f>((STDEV(D112:E117)/AVERAGE(D112:E117))^2)*(COUNT(D112:E117)-1)</f>
        <v>0.0031893072793077754</v>
      </c>
      <c r="D142" s="9">
        <v>0.0031893072793077754</v>
      </c>
      <c r="E142" s="10">
        <f>C142-D142</f>
        <v>0</v>
      </c>
    </row>
    <row r="144" spans="1:5" x14ac:dyDescent="0.25">
      <c r="A144" s="13" t="s">
        <v>200</v>
      </c>
      <c r="B144" s="13"/>
      <c r="C144" s="13"/>
      <c r="D144" s="13"/>
      <c r="E144" s="13"/>
    </row>
    <row r="145" spans="1:5" x14ac:dyDescent="0.25">
      <c r="A145" s="3" t="s">
        <v>178</v>
      </c>
      <c r="B145" s="3" t="s">
        <v>248</v>
      </c>
      <c r="C145" s="3">
        <f>MAX(MAX(D112:E117)-AVERAGE(D112:E117),AVERAGE(D112:E117)-MIN(D112:E117))</f>
        <v>0.019666666666666832</v>
      </c>
      <c r="D145" s="9">
        <v>0.019666666666666832</v>
      </c>
      <c r="E145" s="10">
        <f>C145-D145</f>
        <v>0</v>
      </c>
    </row>
    <row r="146" spans="1:5" x14ac:dyDescent="0.25">
      <c r="A146" s="3" t="s">
        <v>180</v>
      </c>
      <c r="B146" s="3" t="s">
        <v>244</v>
      </c>
      <c r="C146" s="3">
        <f>STDEV(D112:E117)</f>
        <v>0.008814588458740988</v>
      </c>
      <c r="D146" s="9">
        <v>0.008814588458740988</v>
      </c>
      <c r="E146" s="10">
        <f>C146-D146</f>
        <v>0</v>
      </c>
    </row>
    <row r="147" spans="1:5" x14ac:dyDescent="0.25">
      <c r="A147" s="3" t="s">
        <v>181</v>
      </c>
      <c r="B147" s="3" t="s">
        <v>249</v>
      </c>
      <c r="C147" s="3">
        <f>MAX(MAX(D112:E117)-AVERAGE(D112:E117),AVERAGE(D112:E117)-MIN(D112:E117))/STDEV(D112:E117)</f>
        <v>2.2311497307811776</v>
      </c>
      <c r="D147" s="9">
        <v>2.2311497307811776</v>
      </c>
      <c r="E147" s="10">
        <f>C147-D147</f>
        <v>0</v>
      </c>
    </row>
    <row r="148" spans="1:5" x14ac:dyDescent="0.25">
      <c r="A148" s="3" t="s">
        <v>183</v>
      </c>
      <c r="B148" s="3" t="s">
        <v>242</v>
      </c>
      <c r="C148" s="3">
        <f>COUNT(D112:E117)</f>
        <v>12</v>
      </c>
      <c r="D148" s="9">
        <v>12</v>
      </c>
      <c r="E148" s="10">
        <f>C148-D148</f>
        <v>0</v>
      </c>
    </row>
    <row r="149" spans="1:5" x14ac:dyDescent="0.25">
      <c r="A149" s="3" t="s">
        <v>184</v>
      </c>
      <c r="B149" s="3" t="s">
        <v>250</v>
      </c>
      <c r="C149" s="3">
        <f>IFERROR(VLOOKUP(C148,'8. Grubbs Tablosu'!A2:B30,2,FALSE),2.745)</f>
        <v>2.285</v>
      </c>
      <c r="D149" s="9">
        <v>2.285</v>
      </c>
      <c r="E149" s="10">
        <f>C149-D149</f>
        <v>0</v>
      </c>
    </row>
    <row r="150" spans="1:4" x14ac:dyDescent="0.25">
      <c r="A150" s="2" t="s">
        <v>186</v>
      </c>
      <c r="B150" s="3" t="s">
        <v>251</v>
      </c>
      <c r="C150" s="3" t="str">
        <f>IF((MAX(MAX(D112:E117)-AVERAGE(D112:E117),AVERAGE(D112:E117)-MIN(D112:E117))/STDEV(D112:E117))&gt;C149,"AYKIRI VAR (değeri inceleyin)","AYKIRI YOK (veri kabul)")</f>
        <v>AYKIRI YOK (veri kabul)</v>
      </c>
      <c r="D150" s="9" t="s">
        <v>188</v>
      </c>
    </row>
    <row r="152" spans="1:5" x14ac:dyDescent="0.25">
      <c r="A152" s="14" t="s">
        <v>205</v>
      </c>
      <c r="B152" s="14"/>
      <c r="C152" s="14"/>
      <c r="D152" s="14"/>
      <c r="E152" s="14"/>
    </row>
    <row r="153" spans="1:5" x14ac:dyDescent="0.25">
      <c r="A153" s="3" t="s">
        <v>206</v>
      </c>
      <c r="B153" s="3" t="s">
        <v>252</v>
      </c>
      <c r="C153" s="3">
        <f>SQRT((C126+C142)/((C121-1)+(C137-1)))</f>
        <v>0.02165018469628007</v>
      </c>
      <c r="D153" s="9">
        <v>0.02165018469628007</v>
      </c>
      <c r="E153" s="10">
        <f>C153-D153</f>
        <v>0</v>
      </c>
    </row>
    <row r="156" spans="1:6" x14ac:dyDescent="0.25">
      <c r="A156" s="11" t="s">
        <v>253</v>
      </c>
      <c r="B156" s="11"/>
      <c r="C156" s="11"/>
      <c r="D156" s="11"/>
      <c r="E156" s="11"/>
      <c r="F156" s="11"/>
    </row>
    <row r="157" spans="1:5" x14ac:dyDescent="0.25">
      <c r="A157" s="7" t="s">
        <v>67</v>
      </c>
      <c r="B157" s="7" t="s">
        <v>159</v>
      </c>
      <c r="C157" s="7" t="s">
        <v>160</v>
      </c>
      <c r="D157" s="7" t="s">
        <v>161</v>
      </c>
      <c r="E157" s="7" t="s">
        <v>162</v>
      </c>
    </row>
    <row r="158" spans="1:5" x14ac:dyDescent="0.25">
      <c r="A158" s="3">
        <v>1</v>
      </c>
      <c r="B158" s="3">
        <v>1.05</v>
      </c>
      <c r="C158" s="3">
        <v>1.043</v>
      </c>
      <c r="D158" s="3">
        <v>1.007</v>
      </c>
      <c r="E158" s="3">
        <v>1.045</v>
      </c>
    </row>
    <row r="159" spans="1:5" x14ac:dyDescent="0.25">
      <c r="A159" s="3">
        <v>2</v>
      </c>
      <c r="B159" s="3">
        <v>1.041</v>
      </c>
      <c r="C159" s="3">
        <v>1.036</v>
      </c>
      <c r="D159" s="3">
        <v>1.022</v>
      </c>
      <c r="E159" s="3">
        <v>1.009</v>
      </c>
    </row>
    <row r="160" spans="1:5" x14ac:dyDescent="0.25">
      <c r="A160" s="3">
        <v>3</v>
      </c>
      <c r="B160" s="3">
        <v>1.027</v>
      </c>
      <c r="C160" s="3">
        <v>0.986</v>
      </c>
      <c r="D160" s="3">
        <v>1.013</v>
      </c>
      <c r="E160" s="3">
        <v>1.017</v>
      </c>
    </row>
    <row r="161" spans="1:5" x14ac:dyDescent="0.25">
      <c r="A161" s="3">
        <v>4</v>
      </c>
      <c r="B161" s="3">
        <v>1.004</v>
      </c>
      <c r="C161" s="3">
        <v>1.038</v>
      </c>
      <c r="D161" s="3">
        <v>1.017</v>
      </c>
      <c r="E161" s="3">
        <v>1</v>
      </c>
    </row>
    <row r="162" spans="1:5" x14ac:dyDescent="0.25">
      <c r="A162" s="3">
        <v>5</v>
      </c>
      <c r="B162" s="3">
        <v>1.034</v>
      </c>
      <c r="C162" s="3">
        <v>0.996</v>
      </c>
      <c r="D162" s="3">
        <v>1.008</v>
      </c>
      <c r="E162" s="3">
        <v>1.03</v>
      </c>
    </row>
    <row r="163" spans="1:5" x14ac:dyDescent="0.25">
      <c r="A163" s="3">
        <v>6</v>
      </c>
      <c r="B163" s="3">
        <v>0.993</v>
      </c>
      <c r="C163" s="3">
        <v>1.026</v>
      </c>
      <c r="D163" s="3">
        <v>1.043</v>
      </c>
      <c r="E163" s="3">
        <v>1.053</v>
      </c>
    </row>
    <row r="165" spans="1:5" x14ac:dyDescent="0.25">
      <c r="A165" s="8" t="s">
        <v>70</v>
      </c>
      <c r="B165" s="8" t="s">
        <v>112</v>
      </c>
      <c r="C165" s="8" t="s">
        <v>70</v>
      </c>
      <c r="D165" s="8" t="s">
        <v>163</v>
      </c>
      <c r="E165" s="8" t="s">
        <v>74</v>
      </c>
    </row>
    <row r="166" spans="1:5" x14ac:dyDescent="0.25">
      <c r="A166" s="12" t="s">
        <v>164</v>
      </c>
      <c r="B166" s="12"/>
      <c r="C166" s="12"/>
      <c r="D166" s="12"/>
      <c r="E166" s="12"/>
    </row>
    <row r="167" spans="1:5" x14ac:dyDescent="0.25">
      <c r="A167" s="3" t="s">
        <v>165</v>
      </c>
      <c r="B167" s="3" t="s">
        <v>254</v>
      </c>
      <c r="C167" s="3">
        <f>COUNT(B158:C163)</f>
        <v>12</v>
      </c>
      <c r="D167" s="9">
        <v>12</v>
      </c>
      <c r="E167" s="10">
        <f>C167-D167</f>
        <v>0</v>
      </c>
    </row>
    <row r="168" spans="1:5" x14ac:dyDescent="0.25">
      <c r="A168" s="3" t="s">
        <v>167</v>
      </c>
      <c r="B168" s="3" t="s">
        <v>255</v>
      </c>
      <c r="C168" s="3">
        <f>AVERAGE(B158:C163)</f>
        <v>1.0228333333333335</v>
      </c>
      <c r="D168" s="9">
        <v>1.0228333333333335</v>
      </c>
      <c r="E168" s="10">
        <f>C168-D168</f>
        <v>0</v>
      </c>
    </row>
    <row r="169" spans="1:5" x14ac:dyDescent="0.25">
      <c r="A169" s="3" t="s">
        <v>169</v>
      </c>
      <c r="B169" s="3" t="s">
        <v>256</v>
      </c>
      <c r="C169" s="3">
        <f>STDEV(B158:C163)</f>
        <v>0.02205708846414575</v>
      </c>
      <c r="D169" s="9">
        <v>0.02205708846414575</v>
      </c>
      <c r="E169" s="10">
        <f>C169-D169</f>
        <v>0</v>
      </c>
    </row>
    <row r="170" spans="1:5" x14ac:dyDescent="0.25">
      <c r="A170" s="3" t="s">
        <v>171</v>
      </c>
      <c r="B170" s="3" t="s">
        <v>257</v>
      </c>
      <c r="C170" s="3">
        <f>STDEV(B158:C163)/AVERAGE(B158:C163)</f>
        <v>0.021564694604020607</v>
      </c>
      <c r="D170" s="9">
        <v>0.021564694604020607</v>
      </c>
      <c r="E170" s="10">
        <f>C170-D170</f>
        <v>0</v>
      </c>
    </row>
    <row r="171" spans="1:5" x14ac:dyDescent="0.25">
      <c r="A171" s="3" t="s">
        <v>173</v>
      </c>
      <c r="B171" s="3" t="s">
        <v>258</v>
      </c>
      <c r="C171" s="3">
        <f>2.83*STDEV(B158:C163)</f>
        <v>0.06242156035353247</v>
      </c>
      <c r="D171" s="9">
        <v>0.06242156035353247</v>
      </c>
      <c r="E171" s="10">
        <f>C171-D171</f>
        <v>0</v>
      </c>
    </row>
    <row r="172" spans="1:5" x14ac:dyDescent="0.25">
      <c r="A172" s="3" t="s">
        <v>175</v>
      </c>
      <c r="B172" s="3" t="s">
        <v>259</v>
      </c>
      <c r="C172" s="3">
        <f>((STDEV(B158:C163)/AVERAGE(B158:C163))^2)*(COUNT(B158:C163)-1)</f>
        <v>0.00511539658701143</v>
      </c>
      <c r="D172" s="9">
        <v>0.00511539658701143</v>
      </c>
      <c r="E172" s="10">
        <f>C172-D172</f>
        <v>0</v>
      </c>
    </row>
    <row r="174" spans="1:5" x14ac:dyDescent="0.25">
      <c r="A174" s="13" t="s">
        <v>177</v>
      </c>
      <c r="B174" s="13"/>
      <c r="C174" s="13"/>
      <c r="D174" s="13"/>
      <c r="E174" s="13"/>
    </row>
    <row r="175" spans="1:5" x14ac:dyDescent="0.25">
      <c r="A175" s="3" t="s">
        <v>178</v>
      </c>
      <c r="B175" s="3" t="s">
        <v>260</v>
      </c>
      <c r="C175" s="3">
        <f>MAX(MAX(B158:C163)-AVERAGE(B158:C163),AVERAGE(B158:C163)-MIN(B158:C163))</f>
        <v>0.036833333333333496</v>
      </c>
      <c r="D175" s="9">
        <v>0.036833333333333496</v>
      </c>
      <c r="E175" s="10">
        <f>C175-D175</f>
        <v>0</v>
      </c>
    </row>
    <row r="176" spans="1:5" x14ac:dyDescent="0.25">
      <c r="A176" s="3" t="s">
        <v>180</v>
      </c>
      <c r="B176" s="3" t="s">
        <v>256</v>
      </c>
      <c r="C176" s="3">
        <f>STDEV(B158:C163)</f>
        <v>0.02205708846414575</v>
      </c>
      <c r="D176" s="9">
        <v>0.02205708846414575</v>
      </c>
      <c r="E176" s="10">
        <f>C176-D176</f>
        <v>0</v>
      </c>
    </row>
    <row r="177" spans="1:5" x14ac:dyDescent="0.25">
      <c r="A177" s="3" t="s">
        <v>181</v>
      </c>
      <c r="B177" s="3" t="s">
        <v>261</v>
      </c>
      <c r="C177" s="3">
        <f>MAX(MAX(B158:C163)-AVERAGE(B158:C163),AVERAGE(B158:C163)-MIN(B158:C163))/STDEV(B158:C163)</f>
        <v>1.6699091266377626</v>
      </c>
      <c r="D177" s="9">
        <v>1.6699091266377626</v>
      </c>
      <c r="E177" s="10">
        <f>C177-D177</f>
        <v>0</v>
      </c>
    </row>
    <row r="178" spans="1:5" x14ac:dyDescent="0.25">
      <c r="A178" s="3" t="s">
        <v>183</v>
      </c>
      <c r="B178" s="3" t="s">
        <v>254</v>
      </c>
      <c r="C178" s="3">
        <f>COUNT(B158:C163)</f>
        <v>12</v>
      </c>
      <c r="D178" s="9">
        <v>12</v>
      </c>
      <c r="E178" s="10">
        <f>C178-D178</f>
        <v>0</v>
      </c>
    </row>
    <row r="179" spans="1:5" x14ac:dyDescent="0.25">
      <c r="A179" s="3" t="s">
        <v>184</v>
      </c>
      <c r="B179" s="3" t="s">
        <v>262</v>
      </c>
      <c r="C179" s="3">
        <f>IFERROR(VLOOKUP(C178,'8. Grubbs Tablosu'!A2:B30,2,FALSE),2.745)</f>
        <v>2.285</v>
      </c>
      <c r="D179" s="9">
        <v>2.285</v>
      </c>
      <c r="E179" s="10">
        <f>C179-D179</f>
        <v>0</v>
      </c>
    </row>
    <row r="180" spans="1:4" x14ac:dyDescent="0.25">
      <c r="A180" s="2" t="s">
        <v>186</v>
      </c>
      <c r="B180" s="3" t="s">
        <v>263</v>
      </c>
      <c r="C180" s="3" t="str">
        <f>IF((MAX(MAX(B158:C163)-AVERAGE(B158:C163),AVERAGE(B158:C163)-MIN(B158:C163))/STDEV(B158:C163))&gt;C179,"AYKIRI VAR (değeri inceleyin)","AYKIRI YOK (veri kabul)")</f>
        <v>AYKIRI YOK (veri kabul)</v>
      </c>
      <c r="D180" s="9" t="s">
        <v>188</v>
      </c>
    </row>
    <row r="182" spans="1:5" x14ac:dyDescent="0.25">
      <c r="A182" s="12" t="s">
        <v>189</v>
      </c>
      <c r="B182" s="12"/>
      <c r="C182" s="12"/>
      <c r="D182" s="12"/>
      <c r="E182" s="12"/>
    </row>
    <row r="183" spans="1:5" x14ac:dyDescent="0.25">
      <c r="A183" s="3" t="s">
        <v>165</v>
      </c>
      <c r="B183" s="3" t="s">
        <v>264</v>
      </c>
      <c r="C183" s="3">
        <f>COUNT(D158:E163)</f>
        <v>12</v>
      </c>
      <c r="D183" s="9">
        <v>12</v>
      </c>
      <c r="E183" s="10">
        <f>C183-D183</f>
        <v>0</v>
      </c>
    </row>
    <row r="184" spans="1:5" x14ac:dyDescent="0.25">
      <c r="A184" s="3" t="s">
        <v>191</v>
      </c>
      <c r="B184" s="3" t="s">
        <v>265</v>
      </c>
      <c r="C184" s="3">
        <f>AVERAGE(D158:E163)</f>
        <v>1.0219999999999996</v>
      </c>
      <c r="D184" s="9">
        <v>1.0219999999999996</v>
      </c>
      <c r="E184" s="10">
        <f>C184-D184</f>
        <v>0</v>
      </c>
    </row>
    <row r="185" spans="1:5" x14ac:dyDescent="0.25">
      <c r="A185" s="3" t="s">
        <v>193</v>
      </c>
      <c r="B185" s="3" t="s">
        <v>266</v>
      </c>
      <c r="C185" s="3">
        <f>STDEV(D158:E163)</f>
        <v>0.017056057308448832</v>
      </c>
      <c r="D185" s="9">
        <v>0.017056057308448832</v>
      </c>
      <c r="E185" s="10">
        <f>C185-D185</f>
        <v>0</v>
      </c>
    </row>
    <row r="186" spans="1:5" x14ac:dyDescent="0.25">
      <c r="A186" s="3" t="s">
        <v>195</v>
      </c>
      <c r="B186" s="3" t="s">
        <v>267</v>
      </c>
      <c r="C186" s="3">
        <f>STDEV(D158:E163)/AVERAGE(D158:E163)</f>
        <v>0.016688901475977336</v>
      </c>
      <c r="D186" s="9">
        <v>0.016688901475977336</v>
      </c>
      <c r="E186" s="10">
        <f>C186-D186</f>
        <v>0</v>
      </c>
    </row>
    <row r="187" spans="1:5" x14ac:dyDescent="0.25">
      <c r="A187" s="3" t="s">
        <v>173</v>
      </c>
      <c r="B187" s="3" t="s">
        <v>268</v>
      </c>
      <c r="C187" s="3">
        <f>2.83*STDEV(D158:E163)</f>
        <v>0.048268642182910194</v>
      </c>
      <c r="D187" s="9">
        <v>0.048268642182910194</v>
      </c>
      <c r="E187" s="10">
        <f>C187-D187</f>
        <v>0</v>
      </c>
    </row>
    <row r="188" spans="1:5" x14ac:dyDescent="0.25">
      <c r="A188" s="3" t="s">
        <v>198</v>
      </c>
      <c r="B188" s="3" t="s">
        <v>269</v>
      </c>
      <c r="C188" s="3">
        <f>((STDEV(D158:E163)/AVERAGE(D158:E163))^2)*(COUNT(D158:E163)-1)</f>
        <v>0.0030637137572236636</v>
      </c>
      <c r="D188" s="9">
        <v>0.0030637137572236636</v>
      </c>
      <c r="E188" s="10">
        <f>C188-D188</f>
        <v>0</v>
      </c>
    </row>
    <row r="190" spans="1:5" x14ac:dyDescent="0.25">
      <c r="A190" s="13" t="s">
        <v>200</v>
      </c>
      <c r="B190" s="13"/>
      <c r="C190" s="13"/>
      <c r="D190" s="13"/>
      <c r="E190" s="13"/>
    </row>
    <row r="191" spans="1:5" x14ac:dyDescent="0.25">
      <c r="A191" s="3" t="s">
        <v>178</v>
      </c>
      <c r="B191" s="3" t="s">
        <v>270</v>
      </c>
      <c r="C191" s="3">
        <f>MAX(MAX(D158:E163)-AVERAGE(D158:E163),AVERAGE(D158:E163)-MIN(D158:E163))</f>
        <v>0.03100000000000036</v>
      </c>
      <c r="D191" s="9">
        <v>0.03100000000000036</v>
      </c>
      <c r="E191" s="10">
        <f>C191-D191</f>
        <v>0</v>
      </c>
    </row>
    <row r="192" spans="1:5" x14ac:dyDescent="0.25">
      <c r="A192" s="3" t="s">
        <v>180</v>
      </c>
      <c r="B192" s="3" t="s">
        <v>266</v>
      </c>
      <c r="C192" s="3">
        <f>STDEV(D158:E163)</f>
        <v>0.017056057308448832</v>
      </c>
      <c r="D192" s="9">
        <v>0.017056057308448832</v>
      </c>
      <c r="E192" s="10">
        <f>C192-D192</f>
        <v>0</v>
      </c>
    </row>
    <row r="193" spans="1:5" x14ac:dyDescent="0.25">
      <c r="A193" s="3" t="s">
        <v>181</v>
      </c>
      <c r="B193" s="3" t="s">
        <v>271</v>
      </c>
      <c r="C193" s="3">
        <f>MAX(MAX(D158:E163)-AVERAGE(D158:E163),AVERAGE(D158:E163)-MIN(D158:E163))/STDEV(D158:E163)</f>
        <v>1.8175361069316005</v>
      </c>
      <c r="D193" s="9">
        <v>1.8175361069316005</v>
      </c>
      <c r="E193" s="10">
        <f>C193-D193</f>
        <v>0</v>
      </c>
    </row>
    <row r="194" spans="1:5" x14ac:dyDescent="0.25">
      <c r="A194" s="3" t="s">
        <v>183</v>
      </c>
      <c r="B194" s="3" t="s">
        <v>264</v>
      </c>
      <c r="C194" s="3">
        <f>COUNT(D158:E163)</f>
        <v>12</v>
      </c>
      <c r="D194" s="9">
        <v>12</v>
      </c>
      <c r="E194" s="10">
        <f>C194-D194</f>
        <v>0</v>
      </c>
    </row>
    <row r="195" spans="1:5" x14ac:dyDescent="0.25">
      <c r="A195" s="3" t="s">
        <v>184</v>
      </c>
      <c r="B195" s="3" t="s">
        <v>272</v>
      </c>
      <c r="C195" s="3">
        <f>IFERROR(VLOOKUP(C194,'8. Grubbs Tablosu'!A2:B30,2,FALSE),2.745)</f>
        <v>2.285</v>
      </c>
      <c r="D195" s="9">
        <v>2.285</v>
      </c>
      <c r="E195" s="10">
        <f>C195-D195</f>
        <v>0</v>
      </c>
    </row>
    <row r="196" spans="1:4" x14ac:dyDescent="0.25">
      <c r="A196" s="2" t="s">
        <v>186</v>
      </c>
      <c r="B196" s="3" t="s">
        <v>273</v>
      </c>
      <c r="C196" s="3" t="str">
        <f>IF((MAX(MAX(D158:E163)-AVERAGE(D158:E163),AVERAGE(D158:E163)-MIN(D158:E163))/STDEV(D158:E163))&gt;C195,"AYKIRI VAR (değeri inceleyin)","AYKIRI YOK (veri kabul)")</f>
        <v>AYKIRI YOK (veri kabul)</v>
      </c>
      <c r="D196" s="9" t="s">
        <v>188</v>
      </c>
    </row>
    <row r="198" spans="1:5" x14ac:dyDescent="0.25">
      <c r="A198" s="14" t="s">
        <v>205</v>
      </c>
      <c r="B198" s="14"/>
      <c r="C198" s="14"/>
      <c r="D198" s="14"/>
      <c r="E198" s="14"/>
    </row>
    <row r="199" spans="1:5" x14ac:dyDescent="0.25">
      <c r="A199" s="3" t="s">
        <v>206</v>
      </c>
      <c r="B199" s="3" t="s">
        <v>274</v>
      </c>
      <c r="C199" s="3">
        <f>SQRT((C172+C188)/((C167-1)+(C183-1)))</f>
        <v>0.019281538914717802</v>
      </c>
      <c r="D199" s="9">
        <v>0.019281538914717802</v>
      </c>
      <c r="E199" s="10">
        <f>C199-D199</f>
        <v>0</v>
      </c>
    </row>
  </sheetData>
  <mergeCells count="37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4:F14"/>
    <mergeCell ref="A16:F16"/>
    <mergeCell ref="A26:E26"/>
    <mergeCell ref="A34:E34"/>
    <mergeCell ref="A42:E42"/>
    <mergeCell ref="A50:E50"/>
    <mergeCell ref="A58:E58"/>
    <mergeCell ref="A62:F62"/>
    <mergeCell ref="A72:E72"/>
    <mergeCell ref="A80:E80"/>
    <mergeCell ref="A88:E88"/>
    <mergeCell ref="A96:E96"/>
    <mergeCell ref="A104:E104"/>
    <mergeCell ref="A108:F108"/>
    <mergeCell ref="A110:F110"/>
    <mergeCell ref="A120:E120"/>
    <mergeCell ref="A128:E128"/>
    <mergeCell ref="A136:E136"/>
    <mergeCell ref="A144:E144"/>
    <mergeCell ref="A152:E152"/>
    <mergeCell ref="A156:F156"/>
    <mergeCell ref="A166:E166"/>
    <mergeCell ref="A174:E174"/>
    <mergeCell ref="A182:E182"/>
    <mergeCell ref="A190:E190"/>
    <mergeCell ref="A198:E19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FormatPr defaultRowHeight="15" outlineLevelRow="0" outlineLevelCol="0" x14ac:dyDescent="55"/>
  <cols>
    <col min="1" max="1" width="42" customWidth="1"/>
    <col min="2" max="2" width="28" customWidth="1"/>
    <col min="3" max="5" width="22" customWidth="1"/>
    <col min="6" max="6" width="14" customWidth="1"/>
  </cols>
  <sheetData>
    <row r="1" ht="24" customHeight="1" spans="1:6" x14ac:dyDescent="0.25">
      <c r="A1" s="1" t="s">
        <v>275</v>
      </c>
      <c r="B1" s="1"/>
      <c r="C1" s="1"/>
      <c r="D1" s="1"/>
      <c r="E1" s="1"/>
      <c r="F1" s="1"/>
    </row>
    <row r="3" spans="1:6" x14ac:dyDescent="0.25">
      <c r="A3" s="4" t="s">
        <v>276</v>
      </c>
      <c r="B3" s="4"/>
      <c r="C3" s="4"/>
      <c r="D3" s="4"/>
      <c r="E3" s="4"/>
      <c r="F3" s="4"/>
    </row>
    <row r="4" spans="1:6" x14ac:dyDescent="0.25">
      <c r="A4" s="3" t="s">
        <v>277</v>
      </c>
      <c r="B4" s="3"/>
      <c r="C4" s="3"/>
      <c r="D4" s="3"/>
      <c r="E4" s="3"/>
      <c r="F4" s="3"/>
    </row>
    <row r="5" spans="1:6" x14ac:dyDescent="0.25">
      <c r="A5" s="3" t="s">
        <v>278</v>
      </c>
      <c r="B5" s="3"/>
      <c r="C5" s="3"/>
      <c r="D5" s="3"/>
      <c r="E5" s="3"/>
      <c r="F5" s="3"/>
    </row>
    <row r="6" spans="1:6" x14ac:dyDescent="0.25">
      <c r="A6" s="3" t="s">
        <v>279</v>
      </c>
      <c r="B6" s="3"/>
      <c r="C6" s="3"/>
      <c r="D6" s="3"/>
      <c r="E6" s="3"/>
      <c r="F6" s="3"/>
    </row>
    <row r="7" spans="1:6" x14ac:dyDescent="0.25">
      <c r="A7" s="3" t="s">
        <v>280</v>
      </c>
      <c r="B7" s="3"/>
      <c r="C7" s="3"/>
      <c r="D7" s="3"/>
      <c r="E7" s="3"/>
      <c r="F7" s="3"/>
    </row>
    <row r="8" spans="1:6" x14ac:dyDescent="0.25">
      <c r="A8" s="3" t="s">
        <v>281</v>
      </c>
      <c r="B8" s="3"/>
      <c r="C8" s="3"/>
      <c r="D8" s="3"/>
      <c r="E8" s="3"/>
      <c r="F8" s="3"/>
    </row>
    <row r="9" spans="1:6" x14ac:dyDescent="0.25">
      <c r="A9" s="3" t="s">
        <v>282</v>
      </c>
      <c r="B9" s="3"/>
      <c r="C9" s="3"/>
      <c r="D9" s="3"/>
      <c r="E9" s="3"/>
      <c r="F9" s="3"/>
    </row>
    <row r="10" spans="1:6" x14ac:dyDescent="0.25">
      <c r="A10" s="3" t="s">
        <v>283</v>
      </c>
      <c r="B10" s="3"/>
      <c r="C10" s="3"/>
      <c r="D10" s="3"/>
      <c r="E10" s="3"/>
      <c r="F10" s="3"/>
    </row>
    <row r="12" spans="1:6" x14ac:dyDescent="0.25">
      <c r="A12" s="5" t="s">
        <v>157</v>
      </c>
      <c r="B12" s="5"/>
      <c r="C12" s="5"/>
      <c r="D12" s="5"/>
      <c r="E12" s="5"/>
      <c r="F12" s="5"/>
    </row>
    <row r="14" spans="1:4" x14ac:dyDescent="0.25">
      <c r="A14" s="7" t="s">
        <v>67</v>
      </c>
      <c r="B14" s="7" t="s">
        <v>284</v>
      </c>
      <c r="C14" s="7" t="s">
        <v>68</v>
      </c>
      <c r="D14" s="7" t="s">
        <v>69</v>
      </c>
    </row>
    <row r="15" spans="1:4" x14ac:dyDescent="0.25">
      <c r="A15" s="3">
        <v>1</v>
      </c>
      <c r="B15" s="3" t="s">
        <v>285</v>
      </c>
      <c r="C15" s="3">
        <v>0.448</v>
      </c>
      <c r="D15" s="3">
        <v>0.482</v>
      </c>
    </row>
    <row r="16" spans="1:4" x14ac:dyDescent="0.25">
      <c r="A16" s="3">
        <v>2</v>
      </c>
      <c r="B16" s="3" t="s">
        <v>286</v>
      </c>
      <c r="C16" s="3">
        <v>0.493</v>
      </c>
      <c r="D16" s="3">
        <v>0.472</v>
      </c>
    </row>
    <row r="17" spans="1:4" x14ac:dyDescent="0.25">
      <c r="A17" s="3">
        <v>3</v>
      </c>
      <c r="B17" s="3" t="s">
        <v>287</v>
      </c>
      <c r="C17" s="3">
        <v>0.457</v>
      </c>
      <c r="D17" s="3">
        <v>0.497</v>
      </c>
    </row>
    <row r="18" spans="1:4" x14ac:dyDescent="0.25">
      <c r="A18" s="3">
        <v>4</v>
      </c>
      <c r="B18" s="3" t="s">
        <v>288</v>
      </c>
      <c r="C18" s="3">
        <v>0.489</v>
      </c>
      <c r="D18" s="3">
        <v>0.497</v>
      </c>
    </row>
    <row r="19" spans="1:4" x14ac:dyDescent="0.25">
      <c r="A19" s="3">
        <v>5</v>
      </c>
      <c r="B19" s="3" t="s">
        <v>289</v>
      </c>
      <c r="C19" s="3">
        <v>0.446</v>
      </c>
      <c r="D19" s="3">
        <v>0.473</v>
      </c>
    </row>
    <row r="20" spans="1:4" x14ac:dyDescent="0.25">
      <c r="A20" s="3">
        <v>6</v>
      </c>
      <c r="B20" s="3" t="s">
        <v>290</v>
      </c>
      <c r="C20" s="3">
        <v>0.443</v>
      </c>
      <c r="D20" s="3">
        <v>0.467</v>
      </c>
    </row>
    <row r="22" spans="1:5" x14ac:dyDescent="0.25">
      <c r="A22" s="8" t="s">
        <v>70</v>
      </c>
      <c r="B22" s="8" t="s">
        <v>112</v>
      </c>
      <c r="C22" s="8" t="s">
        <v>70</v>
      </c>
      <c r="D22" s="8" t="s">
        <v>163</v>
      </c>
      <c r="E22" s="8" t="s">
        <v>74</v>
      </c>
    </row>
    <row r="23" spans="1:5" x14ac:dyDescent="0.25">
      <c r="A23" s="12" t="s">
        <v>164</v>
      </c>
      <c r="B23" s="12"/>
      <c r="C23" s="12"/>
      <c r="D23" s="12"/>
      <c r="E23" s="12"/>
    </row>
    <row r="24" spans="1:5" x14ac:dyDescent="0.25">
      <c r="A24" s="3" t="s">
        <v>165</v>
      </c>
      <c r="B24" s="3" t="s">
        <v>291</v>
      </c>
      <c r="C24" s="3">
        <f>COUNT(C15:C20)</f>
        <v>6</v>
      </c>
      <c r="D24" s="9">
        <v>6</v>
      </c>
      <c r="E24" s="10">
        <f>C24-D24</f>
        <v>0</v>
      </c>
    </row>
    <row r="25" spans="1:5" x14ac:dyDescent="0.25">
      <c r="A25" s="3" t="s">
        <v>191</v>
      </c>
      <c r="B25" s="3" t="s">
        <v>292</v>
      </c>
      <c r="C25" s="3">
        <f>AVERAGE(C15:C20)</f>
        <v>0.4626666666666667</v>
      </c>
      <c r="D25" s="9">
        <v>0.4626666666666667</v>
      </c>
      <c r="E25" s="10">
        <f>C25-D25</f>
        <v>0</v>
      </c>
    </row>
    <row r="26" spans="1:5" x14ac:dyDescent="0.25">
      <c r="A26" s="3" t="s">
        <v>193</v>
      </c>
      <c r="B26" s="3" t="s">
        <v>293</v>
      </c>
      <c r="C26" s="3">
        <f>STDEV(C15:C20)</f>
        <v>0.022473688319158167</v>
      </c>
      <c r="D26" s="9">
        <v>0.022473688319158167</v>
      </c>
      <c r="E26" s="10">
        <f>C26-D26</f>
        <v>0</v>
      </c>
    </row>
    <row r="27" spans="1:5" x14ac:dyDescent="0.25">
      <c r="A27" s="3" t="s">
        <v>294</v>
      </c>
      <c r="B27" s="3" t="s">
        <v>295</v>
      </c>
      <c r="C27" s="3">
        <f>VAR(C15:C20)</f>
        <v>0.0005050666666666663</v>
      </c>
      <c r="D27" s="9">
        <v>0.0005050666666666663</v>
      </c>
      <c r="E27" s="10">
        <f>C27-D27</f>
        <v>0</v>
      </c>
    </row>
    <row r="28" spans="1:5" x14ac:dyDescent="0.25">
      <c r="A28" s="3" t="s">
        <v>195</v>
      </c>
      <c r="B28" s="3" t="s">
        <v>296</v>
      </c>
      <c r="C28" s="3">
        <f>STDEV(C15:C20)/AVERAGE(C15:C20)</f>
        <v>0.048574254292128596</v>
      </c>
      <c r="D28" s="9">
        <v>0.048574254292128596</v>
      </c>
      <c r="E28" s="10">
        <f>C28-D28</f>
        <v>0</v>
      </c>
    </row>
    <row r="29" spans="1:5" x14ac:dyDescent="0.25">
      <c r="A29" s="3" t="s">
        <v>173</v>
      </c>
      <c r="B29" s="3" t="s">
        <v>297</v>
      </c>
      <c r="C29" s="3">
        <f>2.83*STDEV(C15:C20)</f>
        <v>0.06360053794321761</v>
      </c>
      <c r="D29" s="9">
        <v>0.06360053794321761</v>
      </c>
      <c r="E29" s="10">
        <f>C29-D29</f>
        <v>0</v>
      </c>
    </row>
    <row r="30" spans="1:5" x14ac:dyDescent="0.25">
      <c r="A30" s="3" t="s">
        <v>175</v>
      </c>
      <c r="B30" s="3" t="s">
        <v>298</v>
      </c>
      <c r="C30" s="3">
        <f>((STDEV(C15:C20)/AVERAGE(C15:C20))^2)*(COUNT(C15:C20)-1)</f>
        <v>0.011797290900181867</v>
      </c>
      <c r="D30" s="9">
        <v>0.011797290900181867</v>
      </c>
      <c r="E30" s="10">
        <f>C30-D30</f>
        <v>0</v>
      </c>
    </row>
    <row r="32" spans="1:5" x14ac:dyDescent="0.25">
      <c r="A32" s="13" t="s">
        <v>177</v>
      </c>
      <c r="B32" s="13"/>
      <c r="C32" s="13"/>
      <c r="D32" s="13"/>
      <c r="E32" s="13"/>
    </row>
    <row r="33" spans="1:5" x14ac:dyDescent="0.25">
      <c r="A33" s="3" t="s">
        <v>178</v>
      </c>
      <c r="B33" s="3" t="s">
        <v>299</v>
      </c>
      <c r="C33" s="3">
        <f>MAX(MAX(C15:C20)-AVERAGE(C15:C20),AVERAGE(C15:C20)-MIN(C15:C20))</f>
        <v>0.030333333333333268</v>
      </c>
      <c r="D33" s="9">
        <v>0.030333333333333268</v>
      </c>
      <c r="E33" s="10">
        <f>C33-D33</f>
        <v>0</v>
      </c>
    </row>
    <row r="34" spans="1:5" x14ac:dyDescent="0.25">
      <c r="A34" s="3" t="s">
        <v>180</v>
      </c>
      <c r="B34" s="3" t="s">
        <v>293</v>
      </c>
      <c r="C34" s="3">
        <f>STDEV(C15:C20)</f>
        <v>0.022473688319158167</v>
      </c>
      <c r="D34" s="9">
        <v>0.022473688319158167</v>
      </c>
      <c r="E34" s="10">
        <f>C34-D34</f>
        <v>0</v>
      </c>
    </row>
    <row r="35" spans="1:5" x14ac:dyDescent="0.25">
      <c r="A35" s="3" t="s">
        <v>181</v>
      </c>
      <c r="B35" s="3" t="s">
        <v>300</v>
      </c>
      <c r="C35" s="3">
        <f>MAX(MAX(C15:C20)-AVERAGE(C15:C20),AVERAGE(C15:C20)-MIN(C15:C20))/STDEV(C15:C20)</f>
        <v>1.3497265291997034</v>
      </c>
      <c r="D35" s="9">
        <v>1.3497265291997034</v>
      </c>
      <c r="E35" s="10">
        <f>C35-D35</f>
        <v>0</v>
      </c>
    </row>
    <row r="36" spans="1:5" x14ac:dyDescent="0.25">
      <c r="A36" s="3" t="s">
        <v>183</v>
      </c>
      <c r="B36" s="3" t="s">
        <v>291</v>
      </c>
      <c r="C36" s="3">
        <f>COUNT(C15:C20)</f>
        <v>6</v>
      </c>
      <c r="D36" s="9">
        <v>6</v>
      </c>
      <c r="E36" s="10">
        <f>C36-D36</f>
        <v>0</v>
      </c>
    </row>
    <row r="37" spans="1:5" x14ac:dyDescent="0.25">
      <c r="A37" s="3" t="s">
        <v>184</v>
      </c>
      <c r="B37" s="3" t="s">
        <v>301</v>
      </c>
      <c r="C37" s="3">
        <f>IFERROR(VLOOKUP(C36,'8. Grubbs Tablosu'!A2:B30,2,FALSE),2.745)</f>
        <v>1.822</v>
      </c>
      <c r="D37" s="9">
        <v>1.822</v>
      </c>
      <c r="E37" s="10">
        <f>C37-D37</f>
        <v>0</v>
      </c>
    </row>
    <row r="38" spans="1:4" x14ac:dyDescent="0.25">
      <c r="A38" s="2" t="s">
        <v>186</v>
      </c>
      <c r="B38" s="3" t="s">
        <v>302</v>
      </c>
      <c r="C38" s="3" t="str">
        <f>IF((MAX(MAX(C15:C20)-AVERAGE(C15:C20),AVERAGE(C15:C20)-MIN(C15:C20))/STDEV(C15:C20))&gt;C37,"AYKIRI VAR (değeri inceleyin)","AYKIRI YOK (veri kabul)")</f>
        <v>AYKIRI YOK (veri kabul)</v>
      </c>
      <c r="D38" s="9" t="s">
        <v>188</v>
      </c>
    </row>
    <row r="40" spans="1:5" x14ac:dyDescent="0.25">
      <c r="A40" s="12" t="s">
        <v>189</v>
      </c>
      <c r="B40" s="12"/>
      <c r="C40" s="12"/>
      <c r="D40" s="12"/>
      <c r="E40" s="12"/>
    </row>
    <row r="41" spans="1:5" x14ac:dyDescent="0.25">
      <c r="A41" s="3" t="s">
        <v>165</v>
      </c>
      <c r="B41" s="3" t="s">
        <v>303</v>
      </c>
      <c r="C41" s="3">
        <f>COUNT(D15:D20)</f>
        <v>6</v>
      </c>
      <c r="D41" s="9">
        <v>6</v>
      </c>
      <c r="E41" s="10">
        <f>C41-D41</f>
        <v>0</v>
      </c>
    </row>
    <row r="42" spans="1:5" x14ac:dyDescent="0.25">
      <c r="A42" s="3" t="s">
        <v>191</v>
      </c>
      <c r="B42" s="3" t="s">
        <v>304</v>
      </c>
      <c r="C42" s="3">
        <f>AVERAGE(D15:D20)</f>
        <v>0.48133333333333334</v>
      </c>
      <c r="D42" s="9">
        <v>0.48133333333333334</v>
      </c>
      <c r="E42" s="10">
        <f>C42-D42</f>
        <v>0</v>
      </c>
    </row>
    <row r="43" spans="1:5" x14ac:dyDescent="0.25">
      <c r="A43" s="3" t="s">
        <v>193</v>
      </c>
      <c r="B43" s="3" t="s">
        <v>305</v>
      </c>
      <c r="C43" s="3">
        <f>STDEV(D15:D20)</f>
        <v>0.013063945294843615</v>
      </c>
      <c r="D43" s="9">
        <v>0.013063945294843615</v>
      </c>
      <c r="E43" s="10">
        <f>C43-D43</f>
        <v>0</v>
      </c>
    </row>
    <row r="44" spans="1:5" x14ac:dyDescent="0.25">
      <c r="A44" s="3" t="s">
        <v>294</v>
      </c>
      <c r="B44" s="3" t="s">
        <v>306</v>
      </c>
      <c r="C44" s="3">
        <f>VAR(D15:D20)</f>
        <v>0.00017066666666666662</v>
      </c>
      <c r="D44" s="9">
        <v>0.00017066666666666662</v>
      </c>
      <c r="E44" s="10">
        <f>C44-D44</f>
        <v>0</v>
      </c>
    </row>
    <row r="45" spans="1:5" x14ac:dyDescent="0.25">
      <c r="A45" s="3" t="s">
        <v>195</v>
      </c>
      <c r="B45" s="3" t="s">
        <v>307</v>
      </c>
      <c r="C45" s="3">
        <f>STDEV(D15:D20)/AVERAGE(D15:D20)</f>
        <v>0.027141160584855155</v>
      </c>
      <c r="D45" s="9">
        <v>0.027141160584855155</v>
      </c>
      <c r="E45" s="10">
        <f>C45-D45</f>
        <v>0</v>
      </c>
    </row>
    <row r="46" spans="1:5" x14ac:dyDescent="0.25">
      <c r="A46" s="3" t="s">
        <v>173</v>
      </c>
      <c r="B46" s="3" t="s">
        <v>308</v>
      </c>
      <c r="C46" s="3">
        <f>2.83*STDEV(D15:D20)</f>
        <v>0.036970965184407435</v>
      </c>
      <c r="D46" s="9">
        <v>0.036970965184407435</v>
      </c>
      <c r="E46" s="10">
        <f>C46-D46</f>
        <v>0</v>
      </c>
    </row>
    <row r="47" spans="1:5" x14ac:dyDescent="0.25">
      <c r="A47" s="3" t="s">
        <v>175</v>
      </c>
      <c r="B47" s="3" t="s">
        <v>309</v>
      </c>
      <c r="C47" s="3">
        <f>((STDEV(D15:D20)/AVERAGE(D15:D20))^2)*(COUNT(D15:D20)-1)</f>
        <v>0.003683212989464475</v>
      </c>
      <c r="D47" s="9">
        <v>0.003683212989464475</v>
      </c>
      <c r="E47" s="10">
        <f>C47-D47</f>
        <v>0</v>
      </c>
    </row>
    <row r="49" spans="1:5" x14ac:dyDescent="0.25">
      <c r="A49" s="13" t="s">
        <v>200</v>
      </c>
      <c r="B49" s="13"/>
      <c r="C49" s="13"/>
      <c r="D49" s="13"/>
      <c r="E49" s="13"/>
    </row>
    <row r="50" spans="1:5" x14ac:dyDescent="0.25">
      <c r="A50" s="3" t="s">
        <v>178</v>
      </c>
      <c r="B50" s="3" t="s">
        <v>310</v>
      </c>
      <c r="C50" s="3">
        <f>MAX(MAX(D15:D20)-AVERAGE(D15:D20),AVERAGE(D15:D20)-MIN(D15:D20))</f>
        <v>0.015666666666666662</v>
      </c>
      <c r="D50" s="9">
        <v>0.015666666666666662</v>
      </c>
      <c r="E50" s="10">
        <f>C50-D50</f>
        <v>0</v>
      </c>
    </row>
    <row r="51" spans="1:5" x14ac:dyDescent="0.25">
      <c r="A51" s="3" t="s">
        <v>180</v>
      </c>
      <c r="B51" s="3" t="s">
        <v>305</v>
      </c>
      <c r="C51" s="3">
        <f>STDEV(D15:D20)</f>
        <v>0.013063945294843615</v>
      </c>
      <c r="D51" s="9">
        <v>0.013063945294843615</v>
      </c>
      <c r="E51" s="10">
        <f>C51-D51</f>
        <v>0</v>
      </c>
    </row>
    <row r="52" spans="1:5" x14ac:dyDescent="0.25">
      <c r="A52" s="3" t="s">
        <v>181</v>
      </c>
      <c r="B52" s="3" t="s">
        <v>311</v>
      </c>
      <c r="C52" s="3">
        <f>MAX(MAX(D15:D20)-AVERAGE(D15:D20),AVERAGE(D15:D20)-MIN(D15:D20))/STDEV(D15:D20)</f>
        <v>1.1992293532375973</v>
      </c>
      <c r="D52" s="9">
        <v>1.1992293532375973</v>
      </c>
      <c r="E52" s="10">
        <f>C52-D52</f>
        <v>0</v>
      </c>
    </row>
    <row r="53" spans="1:5" x14ac:dyDescent="0.25">
      <c r="A53" s="3" t="s">
        <v>183</v>
      </c>
      <c r="B53" s="3" t="s">
        <v>303</v>
      </c>
      <c r="C53" s="3">
        <f>COUNT(D15:D20)</f>
        <v>6</v>
      </c>
      <c r="D53" s="9">
        <v>6</v>
      </c>
      <c r="E53" s="10">
        <f>C53-D53</f>
        <v>0</v>
      </c>
    </row>
    <row r="54" spans="1:5" x14ac:dyDescent="0.25">
      <c r="A54" s="3" t="s">
        <v>184</v>
      </c>
      <c r="B54" s="3" t="s">
        <v>312</v>
      </c>
      <c r="C54" s="3">
        <f>IFERROR(VLOOKUP(C53,'8. Grubbs Tablosu'!A2:B30,2,FALSE),2.745)</f>
        <v>1.822</v>
      </c>
      <c r="D54" s="9">
        <v>1.822</v>
      </c>
      <c r="E54" s="10">
        <f>C54-D54</f>
        <v>0</v>
      </c>
    </row>
    <row r="55" spans="1:4" x14ac:dyDescent="0.25">
      <c r="A55" s="2" t="s">
        <v>186</v>
      </c>
      <c r="B55" s="3" t="s">
        <v>313</v>
      </c>
      <c r="C55" s="3" t="str">
        <f>IF((MAX(MAX(D15:D20)-AVERAGE(D15:D20),AVERAGE(D15:D20)-MIN(D15:D20))/STDEV(D15:D20))&gt;C54,"AYKIRI VAR (değeri inceleyin)","AYKIRI YOK (veri kabul)")</f>
        <v>AYKIRI YOK (veri kabul)</v>
      </c>
      <c r="D55" s="9" t="s">
        <v>188</v>
      </c>
    </row>
    <row r="57" spans="1:5" x14ac:dyDescent="0.25">
      <c r="A57" s="14" t="s">
        <v>314</v>
      </c>
      <c r="B57" s="14"/>
      <c r="C57" s="14"/>
      <c r="D57" s="14"/>
      <c r="E57" s="14"/>
    </row>
    <row r="58" spans="1:5" x14ac:dyDescent="0.25">
      <c r="A58" s="3" t="s">
        <v>315</v>
      </c>
      <c r="B58" s="3" t="s">
        <v>316</v>
      </c>
      <c r="C58" s="3">
        <f>SQRT((C30+C47)/((C24-1)+(C41-1)))</f>
        <v>0.039345271494356654</v>
      </c>
      <c r="D58" s="9">
        <v>0.039345271494356654</v>
      </c>
      <c r="E58" s="10">
        <f>C58-D58</f>
        <v>0</v>
      </c>
    </row>
    <row r="60" spans="1:5" x14ac:dyDescent="0.25">
      <c r="A60" s="14" t="s">
        <v>317</v>
      </c>
      <c r="B60" s="14"/>
      <c r="C60" s="14"/>
      <c r="D60" s="14"/>
      <c r="E60" s="14"/>
    </row>
    <row r="61" spans="1:5" x14ac:dyDescent="0.25">
      <c r="A61" s="3" t="s">
        <v>318</v>
      </c>
      <c r="B61" s="3" t="s">
        <v>319</v>
      </c>
      <c r="C61" s="3">
        <f>MAX(C27,C44)</f>
        <v>0.0005050666666666663</v>
      </c>
      <c r="D61" s="9">
        <v>0.0005050666666666663</v>
      </c>
      <c r="E61" s="10">
        <f>C61-D61</f>
        <v>0</v>
      </c>
    </row>
    <row r="62" spans="1:5" x14ac:dyDescent="0.25">
      <c r="A62" s="3" t="s">
        <v>320</v>
      </c>
      <c r="B62" s="3" t="s">
        <v>321</v>
      </c>
      <c r="C62" s="3">
        <f>MIN(C27,C44)</f>
        <v>0.00017066666666666662</v>
      </c>
      <c r="D62" s="9">
        <v>0.00017066666666666662</v>
      </c>
      <c r="E62" s="10">
        <f>C62-D62</f>
        <v>0</v>
      </c>
    </row>
    <row r="63" spans="1:5" x14ac:dyDescent="0.25">
      <c r="A63" s="3" t="s">
        <v>322</v>
      </c>
      <c r="B63" s="3" t="s">
        <v>323</v>
      </c>
      <c r="C63" s="3">
        <f>C61/C62</f>
        <v>2.9593749999999988</v>
      </c>
      <c r="D63" s="9">
        <v>2.9593749999999988</v>
      </c>
      <c r="E63" s="10">
        <f>C63-D63</f>
        <v>0</v>
      </c>
    </row>
    <row r="64" spans="1:5" x14ac:dyDescent="0.25">
      <c r="A64" s="3" t="s">
        <v>324</v>
      </c>
      <c r="B64" s="3" t="s">
        <v>325</v>
      </c>
      <c r="C64" s="3">
        <f>F.INV.RT(0.05,5,5)</f>
        <v>5.050329057632619</v>
      </c>
      <c r="D64" s="9">
        <v>5.050329057632619</v>
      </c>
      <c r="E64" s="10">
        <f>C64-D64</f>
        <v>0</v>
      </c>
    </row>
    <row r="65" spans="1:4" x14ac:dyDescent="0.25">
      <c r="A65" s="3" t="s">
        <v>326</v>
      </c>
      <c r="B65" s="3" t="s">
        <v>327</v>
      </c>
      <c r="C65" s="3">
        <f>IF(C63&lt;C64,"UYGUN","UYGUN DEĞİL")</f>
      </c>
      <c r="D65" s="9" t="s">
        <v>328</v>
      </c>
    </row>
    <row r="68" spans="1:6" x14ac:dyDescent="0.25">
      <c r="A68" s="5" t="s">
        <v>230</v>
      </c>
      <c r="B68" s="5"/>
      <c r="C68" s="5"/>
      <c r="D68" s="5"/>
      <c r="E68" s="5"/>
      <c r="F68" s="5"/>
    </row>
    <row r="70" spans="1:4" x14ac:dyDescent="0.25">
      <c r="A70" s="7" t="s">
        <v>67</v>
      </c>
      <c r="B70" s="7" t="s">
        <v>284</v>
      </c>
      <c r="C70" s="7" t="s">
        <v>68</v>
      </c>
      <c r="D70" s="7" t="s">
        <v>69</v>
      </c>
    </row>
    <row r="71" spans="1:4" x14ac:dyDescent="0.25">
      <c r="A71" s="3">
        <v>1</v>
      </c>
      <c r="B71" s="3" t="s">
        <v>285</v>
      </c>
      <c r="C71" s="3">
        <v>0.508</v>
      </c>
      <c r="D71" s="3">
        <v>0.484</v>
      </c>
    </row>
    <row r="72" spans="1:4" x14ac:dyDescent="0.25">
      <c r="A72" s="3">
        <v>2</v>
      </c>
      <c r="B72" s="3" t="s">
        <v>329</v>
      </c>
      <c r="C72" s="3">
        <v>0.526</v>
      </c>
      <c r="D72" s="3">
        <v>0.512</v>
      </c>
    </row>
    <row r="73" spans="1:4" x14ac:dyDescent="0.25">
      <c r="A73" s="3">
        <v>3</v>
      </c>
      <c r="B73" s="3" t="s">
        <v>287</v>
      </c>
      <c r="C73" s="3">
        <v>0.535</v>
      </c>
      <c r="D73" s="3">
        <v>0.522</v>
      </c>
    </row>
    <row r="74" spans="1:4" x14ac:dyDescent="0.25">
      <c r="A74" s="3">
        <v>4</v>
      </c>
      <c r="B74" s="3" t="s">
        <v>288</v>
      </c>
      <c r="C74" s="3">
        <v>0.543</v>
      </c>
      <c r="D74" s="3">
        <v>0.484</v>
      </c>
    </row>
    <row r="75" spans="1:4" x14ac:dyDescent="0.25">
      <c r="A75" s="3">
        <v>5</v>
      </c>
      <c r="B75" s="3" t="s">
        <v>289</v>
      </c>
      <c r="C75" s="3">
        <v>0.526</v>
      </c>
      <c r="D75" s="3">
        <v>0.51</v>
      </c>
    </row>
    <row r="76" spans="1:4" x14ac:dyDescent="0.25">
      <c r="A76" s="3">
        <v>6</v>
      </c>
      <c r="B76" s="3" t="s">
        <v>290</v>
      </c>
      <c r="C76" s="3">
        <v>0.53</v>
      </c>
      <c r="D76" s="3">
        <v>0.505</v>
      </c>
    </row>
    <row r="78" spans="1:5" x14ac:dyDescent="0.25">
      <c r="A78" s="8" t="s">
        <v>70</v>
      </c>
      <c r="B78" s="8" t="s">
        <v>112</v>
      </c>
      <c r="C78" s="8" t="s">
        <v>70</v>
      </c>
      <c r="D78" s="8" t="s">
        <v>163</v>
      </c>
      <c r="E78" s="8" t="s">
        <v>74</v>
      </c>
    </row>
    <row r="79" spans="1:5" x14ac:dyDescent="0.25">
      <c r="A79" s="12" t="s">
        <v>164</v>
      </c>
      <c r="B79" s="12"/>
      <c r="C79" s="12"/>
      <c r="D79" s="12"/>
      <c r="E79" s="12"/>
    </row>
    <row r="80" spans="1:5" x14ac:dyDescent="0.25">
      <c r="A80" s="3" t="s">
        <v>165</v>
      </c>
      <c r="B80" s="3" t="s">
        <v>330</v>
      </c>
      <c r="C80" s="3">
        <f>COUNT(C71:C76)</f>
        <v>6</v>
      </c>
      <c r="D80" s="9">
        <v>6</v>
      </c>
      <c r="E80" s="10">
        <f>C80-D80</f>
        <v>0</v>
      </c>
    </row>
    <row r="81" spans="1:5" x14ac:dyDescent="0.25">
      <c r="A81" s="3" t="s">
        <v>191</v>
      </c>
      <c r="B81" s="3" t="s">
        <v>331</v>
      </c>
      <c r="C81" s="3">
        <f>AVERAGE(C71:C76)</f>
        <v>0.528</v>
      </c>
      <c r="D81" s="9">
        <v>0.528</v>
      </c>
      <c r="E81" s="10">
        <f>C81-D81</f>
        <v>0</v>
      </c>
    </row>
    <row r="82" spans="1:5" x14ac:dyDescent="0.25">
      <c r="A82" s="3" t="s">
        <v>193</v>
      </c>
      <c r="B82" s="3" t="s">
        <v>332</v>
      </c>
      <c r="C82" s="3">
        <f>STDEV(C71:C76)</f>
        <v>0.011713240371477068</v>
      </c>
      <c r="D82" s="9">
        <v>0.011713240371477068</v>
      </c>
      <c r="E82" s="10">
        <f>C82-D82</f>
        <v>0</v>
      </c>
    </row>
    <row r="83" spans="1:5" x14ac:dyDescent="0.25">
      <c r="A83" s="3" t="s">
        <v>294</v>
      </c>
      <c r="B83" s="3" t="s">
        <v>333</v>
      </c>
      <c r="C83" s="3">
        <f>VAR(C71:C76)</f>
        <v>0.00013720000000000024</v>
      </c>
      <c r="D83" s="9">
        <v>0.00013720000000000024</v>
      </c>
      <c r="E83" s="10">
        <f>C83-D83</f>
        <v>0</v>
      </c>
    </row>
    <row r="84" spans="1:5" x14ac:dyDescent="0.25">
      <c r="A84" s="3" t="s">
        <v>195</v>
      </c>
      <c r="B84" s="3" t="s">
        <v>334</v>
      </c>
      <c r="C84" s="3">
        <f>STDEV(C71:C76)/AVERAGE(C71:C76)</f>
        <v>0.02218416737022172</v>
      </c>
      <c r="D84" s="9">
        <v>0.02218416737022172</v>
      </c>
      <c r="E84" s="10">
        <f>C84-D84</f>
        <v>0</v>
      </c>
    </row>
    <row r="85" spans="1:5" x14ac:dyDescent="0.25">
      <c r="A85" s="3" t="s">
        <v>173</v>
      </c>
      <c r="B85" s="3" t="s">
        <v>335</v>
      </c>
      <c r="C85" s="3">
        <f>2.83*STDEV(C71:C76)</f>
        <v>0.0331484702512801</v>
      </c>
      <c r="D85" s="9">
        <v>0.0331484702512801</v>
      </c>
      <c r="E85" s="10">
        <f>C85-D85</f>
        <v>0</v>
      </c>
    </row>
    <row r="86" spans="1:5" x14ac:dyDescent="0.25">
      <c r="A86" s="3" t="s">
        <v>175</v>
      </c>
      <c r="B86" s="3" t="s">
        <v>336</v>
      </c>
      <c r="C86" s="3">
        <f>((STDEV(C71:C76)/AVERAGE(C71:C76))^2)*(COUNT(C71:C76)-1)</f>
        <v>0.0024606864095500502</v>
      </c>
      <c r="D86" s="9">
        <v>0.0024606864095500502</v>
      </c>
      <c r="E86" s="10">
        <f>C86-D86</f>
        <v>0</v>
      </c>
    </row>
    <row r="88" spans="1:5" x14ac:dyDescent="0.25">
      <c r="A88" s="13" t="s">
        <v>177</v>
      </c>
      <c r="B88" s="13"/>
      <c r="C88" s="13"/>
      <c r="D88" s="13"/>
      <c r="E88" s="13"/>
    </row>
    <row r="89" spans="1:5" x14ac:dyDescent="0.25">
      <c r="A89" s="3" t="s">
        <v>178</v>
      </c>
      <c r="B89" s="3" t="s">
        <v>337</v>
      </c>
      <c r="C89" s="3">
        <f>MAX(MAX(C71:C76)-AVERAGE(C71:C76),AVERAGE(C71:C76)-MIN(C71:C76))</f>
        <v>0.020000000000000018</v>
      </c>
      <c r="D89" s="9">
        <v>0.020000000000000018</v>
      </c>
      <c r="E89" s="10">
        <f>C89-D89</f>
        <v>0</v>
      </c>
    </row>
    <row r="90" spans="1:5" x14ac:dyDescent="0.25">
      <c r="A90" s="3" t="s">
        <v>180</v>
      </c>
      <c r="B90" s="3" t="s">
        <v>332</v>
      </c>
      <c r="C90" s="3">
        <f>STDEV(C71:C76)</f>
        <v>0.011713240371477068</v>
      </c>
      <c r="D90" s="9">
        <v>0.011713240371477068</v>
      </c>
      <c r="E90" s="10">
        <f>C90-D90</f>
        <v>0</v>
      </c>
    </row>
    <row r="91" spans="1:5" x14ac:dyDescent="0.25">
      <c r="A91" s="3" t="s">
        <v>181</v>
      </c>
      <c r="B91" s="3" t="s">
        <v>338</v>
      </c>
      <c r="C91" s="3">
        <f>MAX(MAX(C71:C76)-AVERAGE(C71:C76),AVERAGE(C71:C76)-MIN(C71:C76))/STDEV(C71:C76)</f>
        <v>1.7074694419062766</v>
      </c>
      <c r="D91" s="9">
        <v>1.7074694419062766</v>
      </c>
      <c r="E91" s="10">
        <f>C91-D91</f>
        <v>0</v>
      </c>
    </row>
    <row r="92" spans="1:5" x14ac:dyDescent="0.25">
      <c r="A92" s="3" t="s">
        <v>183</v>
      </c>
      <c r="B92" s="3" t="s">
        <v>330</v>
      </c>
      <c r="C92" s="3">
        <f>COUNT(C71:C76)</f>
        <v>6</v>
      </c>
      <c r="D92" s="9">
        <v>6</v>
      </c>
      <c r="E92" s="10">
        <f>C92-D92</f>
        <v>0</v>
      </c>
    </row>
    <row r="93" spans="1:5" x14ac:dyDescent="0.25">
      <c r="A93" s="3" t="s">
        <v>184</v>
      </c>
      <c r="B93" s="3" t="s">
        <v>339</v>
      </c>
      <c r="C93" s="3">
        <f>IFERROR(VLOOKUP(C92,'8. Grubbs Tablosu'!A2:B30,2,FALSE),2.745)</f>
        <v>1.822</v>
      </c>
      <c r="D93" s="9">
        <v>1.822</v>
      </c>
      <c r="E93" s="10">
        <f>C93-D93</f>
        <v>0</v>
      </c>
    </row>
    <row r="94" spans="1:4" x14ac:dyDescent="0.25">
      <c r="A94" s="2" t="s">
        <v>186</v>
      </c>
      <c r="B94" s="3" t="s">
        <v>340</v>
      </c>
      <c r="C94" s="3" t="str">
        <f>IF((MAX(MAX(C71:C76)-AVERAGE(C71:C76),AVERAGE(C71:C76)-MIN(C71:C76))/STDEV(C71:C76))&gt;C93,"AYKIRI VAR (değeri inceleyin)","AYKIRI YOK (veri kabul)")</f>
        <v>AYKIRI YOK (veri kabul)</v>
      </c>
      <c r="D94" s="9" t="s">
        <v>188</v>
      </c>
    </row>
    <row r="96" spans="1:5" x14ac:dyDescent="0.25">
      <c r="A96" s="12" t="s">
        <v>189</v>
      </c>
      <c r="B96" s="12"/>
      <c r="C96" s="12"/>
      <c r="D96" s="12"/>
      <c r="E96" s="12"/>
    </row>
    <row r="97" spans="1:5" x14ac:dyDescent="0.25">
      <c r="A97" s="3" t="s">
        <v>165</v>
      </c>
      <c r="B97" s="3" t="s">
        <v>341</v>
      </c>
      <c r="C97" s="3">
        <f>COUNT(D71:D76)</f>
        <v>6</v>
      </c>
      <c r="D97" s="9">
        <v>6</v>
      </c>
      <c r="E97" s="10">
        <f>C97-D97</f>
        <v>0</v>
      </c>
    </row>
    <row r="98" spans="1:5" x14ac:dyDescent="0.25">
      <c r="A98" s="3" t="s">
        <v>191</v>
      </c>
      <c r="B98" s="3" t="s">
        <v>342</v>
      </c>
      <c r="C98" s="3">
        <f>AVERAGE(D71:D76)</f>
        <v>0.5028333333333332</v>
      </c>
      <c r="D98" s="9">
        <v>0.5028333333333332</v>
      </c>
      <c r="E98" s="10">
        <f>C98-D98</f>
        <v>0</v>
      </c>
    </row>
    <row r="99" spans="1:5" x14ac:dyDescent="0.25">
      <c r="A99" s="3" t="s">
        <v>193</v>
      </c>
      <c r="B99" s="3" t="s">
        <v>343</v>
      </c>
      <c r="C99" s="3">
        <f>STDEV(D71:D76)</f>
        <v>0.01560021367375034</v>
      </c>
      <c r="D99" s="9">
        <v>0.01560021367375034</v>
      </c>
      <c r="E99" s="10">
        <f>C99-D99</f>
        <v>0</v>
      </c>
    </row>
    <row r="100" spans="1:5" x14ac:dyDescent="0.25">
      <c r="A100" s="3" t="s">
        <v>294</v>
      </c>
      <c r="B100" s="3" t="s">
        <v>344</v>
      </c>
      <c r="C100" s="3">
        <f>VAR(D71:D76)</f>
        <v>0.0002433666666666671</v>
      </c>
      <c r="D100" s="9">
        <v>0.0002433666666666671</v>
      </c>
      <c r="E100" s="10">
        <f>C100-D100</f>
        <v>0</v>
      </c>
    </row>
    <row r="101" spans="1:5" x14ac:dyDescent="0.25">
      <c r="A101" s="3" t="s">
        <v>195</v>
      </c>
      <c r="B101" s="3" t="s">
        <v>345</v>
      </c>
      <c r="C101" s="3">
        <f>STDEV(D71:D76)/AVERAGE(D71:D76)</f>
        <v>0.03102462116092213</v>
      </c>
      <c r="D101" s="9">
        <v>0.03102462116092213</v>
      </c>
      <c r="E101" s="10">
        <f>C101-D101</f>
        <v>0</v>
      </c>
    </row>
    <row r="102" spans="1:5" x14ac:dyDescent="0.25">
      <c r="A102" s="3" t="s">
        <v>173</v>
      </c>
      <c r="B102" s="3" t="s">
        <v>346</v>
      </c>
      <c r="C102" s="3">
        <f>2.83*STDEV(D71:D76)</f>
        <v>0.044148604696713466</v>
      </c>
      <c r="D102" s="9">
        <v>0.044148604696713466</v>
      </c>
      <c r="E102" s="10">
        <f>C102-D102</f>
        <v>0</v>
      </c>
    </row>
    <row r="103" spans="1:5" x14ac:dyDescent="0.25">
      <c r="A103" s="3" t="s">
        <v>175</v>
      </c>
      <c r="B103" s="3" t="s">
        <v>347</v>
      </c>
      <c r="C103" s="3">
        <f>((STDEV(D71:D76)/AVERAGE(D71:D76))^2)*(COUNT(D71:D76)-1)</f>
        <v>0.0048126355908936855</v>
      </c>
      <c r="D103" s="9">
        <v>0.0048126355908936855</v>
      </c>
      <c r="E103" s="10">
        <f>C103-D103</f>
        <v>0</v>
      </c>
    </row>
    <row r="105" spans="1:5" x14ac:dyDescent="0.25">
      <c r="A105" s="13" t="s">
        <v>200</v>
      </c>
      <c r="B105" s="13"/>
      <c r="C105" s="13"/>
      <c r="D105" s="13"/>
      <c r="E105" s="13"/>
    </row>
    <row r="106" spans="1:5" x14ac:dyDescent="0.25">
      <c r="A106" s="3" t="s">
        <v>178</v>
      </c>
      <c r="B106" s="3" t="s">
        <v>348</v>
      </c>
      <c r="C106" s="3">
        <f>MAX(MAX(D71:D76)-AVERAGE(D71:D76),AVERAGE(D71:D76)-MIN(D71:D76))</f>
        <v>0.019166666666666776</v>
      </c>
      <c r="D106" s="9">
        <v>0.019166666666666776</v>
      </c>
      <c r="E106" s="10">
        <f>C106-D106</f>
        <v>0</v>
      </c>
    </row>
    <row r="107" spans="1:5" x14ac:dyDescent="0.25">
      <c r="A107" s="3" t="s">
        <v>180</v>
      </c>
      <c r="B107" s="3" t="s">
        <v>343</v>
      </c>
      <c r="C107" s="3">
        <f>STDEV(D71:D76)</f>
        <v>0.01560021367375034</v>
      </c>
      <c r="D107" s="9">
        <v>0.01560021367375034</v>
      </c>
      <c r="E107" s="10">
        <f>C107-D107</f>
        <v>0</v>
      </c>
    </row>
    <row r="108" spans="1:5" x14ac:dyDescent="0.25">
      <c r="A108" s="3" t="s">
        <v>181</v>
      </c>
      <c r="B108" s="3" t="s">
        <v>349</v>
      </c>
      <c r="C108" s="3">
        <f>MAX(MAX(D71:D76)-AVERAGE(D71:D76),AVERAGE(D71:D76)-MIN(D71:D76))/STDEV(D71:D76)</f>
        <v>1.228615650240581</v>
      </c>
      <c r="D108" s="9">
        <v>1.228615650240581</v>
      </c>
      <c r="E108" s="10">
        <f>C108-D108</f>
        <v>0</v>
      </c>
    </row>
    <row r="109" spans="1:5" x14ac:dyDescent="0.25">
      <c r="A109" s="3" t="s">
        <v>183</v>
      </c>
      <c r="B109" s="3" t="s">
        <v>341</v>
      </c>
      <c r="C109" s="3">
        <f>COUNT(D71:D76)</f>
        <v>6</v>
      </c>
      <c r="D109" s="9">
        <v>6</v>
      </c>
      <c r="E109" s="10">
        <f>C109-D109</f>
        <v>0</v>
      </c>
    </row>
    <row r="110" spans="1:5" x14ac:dyDescent="0.25">
      <c r="A110" s="3" t="s">
        <v>184</v>
      </c>
      <c r="B110" s="3" t="s">
        <v>350</v>
      </c>
      <c r="C110" s="3">
        <f>IFERROR(VLOOKUP(C109,'8. Grubbs Tablosu'!A2:B30,2,FALSE),2.745)</f>
        <v>1.822</v>
      </c>
      <c r="D110" s="9">
        <v>1.822</v>
      </c>
      <c r="E110" s="10">
        <f>C110-D110</f>
        <v>0</v>
      </c>
    </row>
    <row r="111" spans="1:4" x14ac:dyDescent="0.25">
      <c r="A111" s="2" t="s">
        <v>186</v>
      </c>
      <c r="B111" s="3" t="s">
        <v>351</v>
      </c>
      <c r="C111" s="3" t="str">
        <f>IF((MAX(MAX(D71:D76)-AVERAGE(D71:D76),AVERAGE(D71:D76)-MIN(D71:D76))/STDEV(D71:D76))&gt;C110,"AYKIRI VAR (değeri inceleyin)","AYKIRI YOK (veri kabul)")</f>
        <v>AYKIRI YOK (veri kabul)</v>
      </c>
      <c r="D111" s="9" t="s">
        <v>188</v>
      </c>
    </row>
    <row r="113" spans="1:5" x14ac:dyDescent="0.25">
      <c r="A113" s="14" t="s">
        <v>314</v>
      </c>
      <c r="B113" s="14"/>
      <c r="C113" s="14"/>
      <c r="D113" s="14"/>
      <c r="E113" s="14"/>
    </row>
    <row r="114" spans="1:5" x14ac:dyDescent="0.25">
      <c r="A114" s="3" t="s">
        <v>315</v>
      </c>
      <c r="B114" s="3" t="s">
        <v>352</v>
      </c>
      <c r="C114" s="3">
        <f>SQRT((C86+C103)/((C80-1)+(C97-1)))</f>
        <v>0.026969097130685956</v>
      </c>
      <c r="D114" s="9">
        <v>0.026969097130685956</v>
      </c>
      <c r="E114" s="10">
        <f>C114-D114</f>
        <v>0</v>
      </c>
    </row>
    <row r="116" spans="1:5" x14ac:dyDescent="0.25">
      <c r="A116" s="14" t="s">
        <v>317</v>
      </c>
      <c r="B116" s="14"/>
      <c r="C116" s="14"/>
      <c r="D116" s="14"/>
      <c r="E116" s="14"/>
    </row>
    <row r="117" spans="1:5" x14ac:dyDescent="0.25">
      <c r="A117" s="3" t="s">
        <v>318</v>
      </c>
      <c r="B117" s="3" t="s">
        <v>353</v>
      </c>
      <c r="C117" s="3">
        <f>MAX(C83,C100)</f>
        <v>0.0002433666666666671</v>
      </c>
      <c r="D117" s="9">
        <v>0.0002433666666666671</v>
      </c>
      <c r="E117" s="10">
        <f>C117-D117</f>
        <v>0</v>
      </c>
    </row>
    <row r="118" spans="1:5" x14ac:dyDescent="0.25">
      <c r="A118" s="3" t="s">
        <v>320</v>
      </c>
      <c r="B118" s="3" t="s">
        <v>354</v>
      </c>
      <c r="C118" s="3">
        <f>MIN(C83,C100)</f>
        <v>0.00013720000000000024</v>
      </c>
      <c r="D118" s="9">
        <v>0.00013720000000000024</v>
      </c>
      <c r="E118" s="10">
        <f>C118-D118</f>
        <v>0</v>
      </c>
    </row>
    <row r="119" spans="1:5" x14ac:dyDescent="0.25">
      <c r="A119" s="3" t="s">
        <v>322</v>
      </c>
      <c r="B119" s="3" t="s">
        <v>355</v>
      </c>
      <c r="C119" s="3">
        <f>C117/C118</f>
        <v>1.7738095238095237</v>
      </c>
      <c r="D119" s="9">
        <v>1.7738095238095237</v>
      </c>
      <c r="E119" s="10">
        <f>C119-D119</f>
        <v>0</v>
      </c>
    </row>
    <row r="120" spans="1:5" x14ac:dyDescent="0.25">
      <c r="A120" s="3" t="s">
        <v>324</v>
      </c>
      <c r="B120" s="3" t="s">
        <v>325</v>
      </c>
      <c r="C120" s="3">
        <f>F.INV.RT(0.05,5,5)</f>
        <v>5.050329057632619</v>
      </c>
      <c r="D120" s="9">
        <v>5.050329057632619</v>
      </c>
      <c r="E120" s="10">
        <f>C120-D120</f>
        <v>0</v>
      </c>
    </row>
    <row r="121" spans="1:4" x14ac:dyDescent="0.25">
      <c r="A121" s="3" t="s">
        <v>326</v>
      </c>
      <c r="B121" s="3" t="s">
        <v>356</v>
      </c>
      <c r="C121" s="3">
        <f>IF(C119&lt;C120,"UYGUN","UYGUN DEĞİL")</f>
      </c>
      <c r="D121" s="9" t="s">
        <v>328</v>
      </c>
    </row>
  </sheetData>
  <mergeCells count="23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A23:E23"/>
    <mergeCell ref="A32:E32"/>
    <mergeCell ref="A40:E40"/>
    <mergeCell ref="A49:E49"/>
    <mergeCell ref="A57:E57"/>
    <mergeCell ref="A60:E60"/>
    <mergeCell ref="A68:F68"/>
    <mergeCell ref="A79:E79"/>
    <mergeCell ref="A88:E88"/>
    <mergeCell ref="A96:E96"/>
    <mergeCell ref="A105:E105"/>
    <mergeCell ref="A113:E113"/>
    <mergeCell ref="A116:E1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FormatPr defaultRowHeight="15" outlineLevelRow="0" outlineLevelCol="0" x14ac:dyDescent="55"/>
  <cols>
    <col min="1" max="1" width="44" customWidth="1"/>
    <col min="2" max="2" width="60" customWidth="1"/>
    <col min="3" max="3" width="22" customWidth="1"/>
    <col min="4" max="4" width="28" customWidth="1"/>
    <col min="5" max="5" width="14" customWidth="1"/>
  </cols>
  <sheetData>
    <row r="1" ht="24" customHeight="1" spans="1:5" x14ac:dyDescent="0.25">
      <c r="A1" s="1" t="s">
        <v>357</v>
      </c>
      <c r="B1" s="1"/>
      <c r="C1" s="1"/>
      <c r="D1" s="1"/>
      <c r="E1" s="1"/>
    </row>
    <row r="3" spans="1:5" x14ac:dyDescent="0.25">
      <c r="A3" s="4" t="s">
        <v>358</v>
      </c>
      <c r="B3" s="4"/>
      <c r="C3" s="4"/>
      <c r="D3" s="4"/>
      <c r="E3" s="4"/>
    </row>
    <row r="4" spans="1:5" x14ac:dyDescent="0.25">
      <c r="A4" s="3" t="s">
        <v>359</v>
      </c>
      <c r="B4" s="3"/>
      <c r="C4" s="3"/>
      <c r="D4" s="3"/>
      <c r="E4" s="3"/>
    </row>
    <row r="5" spans="1:5" x14ac:dyDescent="0.25">
      <c r="A5" s="3" t="s">
        <v>360</v>
      </c>
      <c r="B5" s="3"/>
      <c r="C5" s="3"/>
      <c r="D5" s="3"/>
      <c r="E5" s="3"/>
    </row>
    <row r="6" spans="1:5" x14ac:dyDescent="0.25">
      <c r="A6" s="3" t="s">
        <v>361</v>
      </c>
      <c r="B6" s="3"/>
      <c r="C6" s="3"/>
      <c r="D6" s="3"/>
      <c r="E6" s="3"/>
    </row>
    <row r="7" spans="1:5" x14ac:dyDescent="0.25">
      <c r="A7" s="3" t="s">
        <v>362</v>
      </c>
      <c r="B7" s="3"/>
      <c r="C7" s="3"/>
      <c r="D7" s="3"/>
      <c r="E7" s="3"/>
    </row>
    <row r="8" spans="1:5" x14ac:dyDescent="0.25">
      <c r="A8" s="3" t="s">
        <v>363</v>
      </c>
      <c r="B8" s="3"/>
      <c r="C8" s="3"/>
      <c r="D8" s="3"/>
      <c r="E8" s="3"/>
    </row>
    <row r="9" spans="1:5" x14ac:dyDescent="0.25">
      <c r="A9" s="3" t="s">
        <v>364</v>
      </c>
      <c r="B9" s="3"/>
      <c r="C9" s="3"/>
      <c r="D9" s="3"/>
      <c r="E9" s="3"/>
    </row>
    <row r="10" spans="1:5" x14ac:dyDescent="0.25">
      <c r="A10" s="3" t="s">
        <v>365</v>
      </c>
      <c r="B10" s="3"/>
      <c r="C10" s="3"/>
      <c r="D10" s="3"/>
      <c r="E10" s="3"/>
    </row>
    <row r="11" spans="1:5" x14ac:dyDescent="0.25">
      <c r="A11" s="3" t="s">
        <v>366</v>
      </c>
      <c r="B11" s="3"/>
      <c r="C11" s="3"/>
      <c r="D11" s="3"/>
      <c r="E11" s="3"/>
    </row>
    <row r="12" spans="1:5" x14ac:dyDescent="0.25">
      <c r="A12" s="3" t="s">
        <v>367</v>
      </c>
      <c r="B12" s="3"/>
      <c r="C12" s="3"/>
      <c r="D12" s="3"/>
      <c r="E12" s="3"/>
    </row>
    <row r="13" spans="1:5" x14ac:dyDescent="0.25">
      <c r="A13" s="3" t="s">
        <v>368</v>
      </c>
      <c r="B13" s="3"/>
      <c r="C13" s="3"/>
      <c r="D13" s="3"/>
      <c r="E13" s="3"/>
    </row>
    <row r="14" spans="1:5" x14ac:dyDescent="0.25">
      <c r="A14" s="3" t="s">
        <v>369</v>
      </c>
      <c r="B14" s="3"/>
      <c r="C14" s="3"/>
      <c r="D14" s="3"/>
      <c r="E14" s="3"/>
    </row>
    <row r="15" spans="1:5" x14ac:dyDescent="0.25">
      <c r="A15" s="3" t="s">
        <v>370</v>
      </c>
      <c r="B15" s="3"/>
      <c r="C15" s="3"/>
      <c r="D15" s="3"/>
      <c r="E15" s="3"/>
    </row>
    <row r="17" spans="1:5" x14ac:dyDescent="0.25">
      <c r="A17" s="5" t="s">
        <v>371</v>
      </c>
      <c r="B17" s="5"/>
      <c r="C17" s="5"/>
      <c r="D17" s="5"/>
      <c r="E17" s="5"/>
    </row>
    <row r="19" spans="1:5" x14ac:dyDescent="0.25">
      <c r="A19" s="7" t="s">
        <v>67</v>
      </c>
      <c r="B19" s="7" t="s">
        <v>68</v>
      </c>
      <c r="C19" s="7" t="s">
        <v>69</v>
      </c>
      <c r="D19" s="7" t="s">
        <v>372</v>
      </c>
      <c r="E19" s="7" t="s">
        <v>373</v>
      </c>
    </row>
    <row r="20" spans="1:5" x14ac:dyDescent="0.25">
      <c r="A20" s="3">
        <v>1</v>
      </c>
      <c r="B20" s="3">
        <v>1.029</v>
      </c>
      <c r="C20" s="3">
        <v>0.968</v>
      </c>
      <c r="D20" s="3">
        <f>B20/1*100</f>
      </c>
      <c r="E20" s="3">
        <f>C20/1*100</f>
      </c>
    </row>
    <row r="21" spans="1:5" x14ac:dyDescent="0.25">
      <c r="A21" s="3">
        <v>2</v>
      </c>
      <c r="B21" s="3">
        <v>1.044</v>
      </c>
      <c r="C21" s="3">
        <v>1.067</v>
      </c>
      <c r="D21" s="3">
        <f>B21/1*100</f>
      </c>
      <c r="E21" s="3">
        <f>C21/1*100</f>
      </c>
    </row>
    <row r="22" spans="1:5" x14ac:dyDescent="0.25">
      <c r="A22" s="3">
        <v>3</v>
      </c>
      <c r="B22" s="3">
        <v>1.028</v>
      </c>
      <c r="C22" s="3">
        <v>1.095</v>
      </c>
      <c r="D22" s="3">
        <f>B22/1*100</f>
      </c>
      <c r="E22" s="3">
        <f>C22/1*100</f>
      </c>
    </row>
    <row r="23" spans="1:5" x14ac:dyDescent="0.25">
      <c r="A23" s="3">
        <v>4</v>
      </c>
      <c r="B23" s="3">
        <v>0.961</v>
      </c>
      <c r="C23" s="3">
        <v>1.022</v>
      </c>
      <c r="D23" s="3">
        <f>B23/1*100</f>
      </c>
      <c r="E23" s="3">
        <f>C23/1*100</f>
      </c>
    </row>
    <row r="24" spans="1:5" x14ac:dyDescent="0.25">
      <c r="A24" s="3">
        <v>5</v>
      </c>
      <c r="B24" s="3">
        <v>1.027</v>
      </c>
      <c r="C24" s="3">
        <v>1.057</v>
      </c>
      <c r="D24" s="3">
        <f>B24/1*100</f>
      </c>
      <c r="E24" s="3">
        <f>C24/1*100</f>
      </c>
    </row>
    <row r="25" spans="1:5" x14ac:dyDescent="0.25">
      <c r="A25" s="3">
        <v>6</v>
      </c>
      <c r="B25" s="3">
        <v>0.985</v>
      </c>
      <c r="C25" s="3">
        <v>1.054</v>
      </c>
      <c r="D25" s="3">
        <f>B25/1*100</f>
      </c>
      <c r="E25" s="3">
        <f>C25/1*100</f>
      </c>
    </row>
    <row r="26" spans="1:5" x14ac:dyDescent="0.25">
      <c r="A26" s="3">
        <v>7</v>
      </c>
      <c r="B26" s="3">
        <v>1.004</v>
      </c>
      <c r="C26" s="3">
        <v>1.053</v>
      </c>
      <c r="D26" s="3">
        <f>B26/1*100</f>
      </c>
      <c r="E26" s="3">
        <f>C26/1*100</f>
      </c>
    </row>
    <row r="27" spans="1:5" x14ac:dyDescent="0.25">
      <c r="A27" s="3">
        <v>8</v>
      </c>
      <c r="B27" s="3">
        <v>1.058</v>
      </c>
      <c r="C27" s="3">
        <v>0.953</v>
      </c>
      <c r="D27" s="3">
        <f>B27/1*100</f>
      </c>
      <c r="E27" s="3">
        <f>C27/1*100</f>
      </c>
    </row>
    <row r="28" spans="1:5" x14ac:dyDescent="0.25">
      <c r="A28" s="3">
        <v>9</v>
      </c>
      <c r="B28" s="3">
        <v>0.965</v>
      </c>
      <c r="C28" s="3">
        <v>1.051</v>
      </c>
      <c r="D28" s="3">
        <f>B28/1*100</f>
      </c>
      <c r="E28" s="3">
        <f>C28/1*100</f>
      </c>
    </row>
    <row r="29" spans="1:5" x14ac:dyDescent="0.25">
      <c r="A29" s="3">
        <v>10</v>
      </c>
      <c r="B29" s="3">
        <v>1.022</v>
      </c>
      <c r="C29" s="3">
        <v>1.029</v>
      </c>
      <c r="D29" s="3">
        <f>B29/1*100</f>
      </c>
      <c r="E29" s="3">
        <f>C29/1*100</f>
      </c>
    </row>
    <row r="30" spans="1:5" x14ac:dyDescent="0.25">
      <c r="A30" s="3">
        <v>11</v>
      </c>
      <c r="B30" s="3">
        <v>0.971</v>
      </c>
      <c r="C30" s="3">
        <v>1.079</v>
      </c>
      <c r="D30" s="3">
        <f>B30/1*100</f>
      </c>
      <c r="E30" s="3">
        <f>C30/1*100</f>
      </c>
    </row>
    <row r="31" spans="1:5" x14ac:dyDescent="0.25">
      <c r="A31" s="3">
        <v>12</v>
      </c>
      <c r="B31" s="3">
        <v>1.013</v>
      </c>
      <c r="C31" s="3">
        <v>0.975</v>
      </c>
      <c r="D31" s="3">
        <f>B31/1*100</f>
      </c>
      <c r="E31" s="3">
        <f>C31/1*100</f>
      </c>
    </row>
    <row r="33" spans="1:5" x14ac:dyDescent="0.25">
      <c r="A33" s="8" t="s">
        <v>70</v>
      </c>
      <c r="B33" s="8" t="s">
        <v>112</v>
      </c>
      <c r="C33" s="8" t="s">
        <v>70</v>
      </c>
      <c r="D33" s="8" t="s">
        <v>163</v>
      </c>
      <c r="E33" s="8" t="s">
        <v>74</v>
      </c>
    </row>
    <row r="34" spans="1:5" x14ac:dyDescent="0.25">
      <c r="A34" s="12" t="s">
        <v>164</v>
      </c>
      <c r="B34" s="12"/>
      <c r="C34" s="12"/>
      <c r="D34" s="12"/>
      <c r="E34" s="12"/>
    </row>
    <row r="35" spans="1:5" x14ac:dyDescent="0.25">
      <c r="A35" s="3" t="s">
        <v>165</v>
      </c>
      <c r="B35" s="3" t="s">
        <v>374</v>
      </c>
      <c r="C35" s="3">
        <f>COUNT(B20:B31)</f>
        <v>12</v>
      </c>
      <c r="D35" s="9">
        <v>12</v>
      </c>
      <c r="E35" s="10">
        <f>C35-D35</f>
        <v>0</v>
      </c>
    </row>
    <row r="36" spans="1:5" x14ac:dyDescent="0.25">
      <c r="A36" s="3" t="s">
        <v>191</v>
      </c>
      <c r="B36" s="3" t="s">
        <v>375</v>
      </c>
      <c r="C36" s="3">
        <f>AVERAGE(B20:B31)</f>
        <v>1.0089166666666667</v>
      </c>
      <c r="D36" s="9">
        <v>1.0089166666666667</v>
      </c>
      <c r="E36" s="10">
        <f>C36-D36</f>
        <v>0</v>
      </c>
    </row>
    <row r="37" spans="1:5" x14ac:dyDescent="0.25">
      <c r="A37" s="3" t="s">
        <v>193</v>
      </c>
      <c r="B37" s="3" t="s">
        <v>376</v>
      </c>
      <c r="C37" s="3">
        <f>STDEV(B20:B31)</f>
        <v>0.03188176547333869</v>
      </c>
      <c r="D37" s="9">
        <v>0.03188176547333869</v>
      </c>
      <c r="E37" s="10">
        <f>C37-D37</f>
        <v>0</v>
      </c>
    </row>
    <row r="38" spans="1:5" x14ac:dyDescent="0.25">
      <c r="A38" s="3" t="s">
        <v>377</v>
      </c>
      <c r="B38" s="3" t="s">
        <v>378</v>
      </c>
      <c r="C38" s="3">
        <f>STDEV(B20:B31)/AVERAGE(B20:B31)</f>
        <v>0.03159999881721849</v>
      </c>
      <c r="D38" s="9">
        <v>0.03159999881721849</v>
      </c>
      <c r="E38" s="10">
        <f>C38-D38</f>
        <v>0</v>
      </c>
    </row>
    <row r="40" spans="1:5" x14ac:dyDescent="0.25">
      <c r="A40" s="12" t="s">
        <v>189</v>
      </c>
      <c r="B40" s="12"/>
      <c r="C40" s="12"/>
      <c r="D40" s="12"/>
      <c r="E40" s="12"/>
    </row>
    <row r="41" spans="1:5" x14ac:dyDescent="0.25">
      <c r="A41" s="3" t="s">
        <v>165</v>
      </c>
      <c r="B41" s="3" t="s">
        <v>379</v>
      </c>
      <c r="C41" s="3">
        <f>COUNT(C20:C31)</f>
        <v>12</v>
      </c>
      <c r="D41" s="9">
        <v>12</v>
      </c>
      <c r="E41" s="10">
        <f>C41-D41</f>
        <v>0</v>
      </c>
    </row>
    <row r="42" spans="1:5" x14ac:dyDescent="0.25">
      <c r="A42" s="3" t="s">
        <v>191</v>
      </c>
      <c r="B42" s="3" t="s">
        <v>380</v>
      </c>
      <c r="C42" s="3">
        <f>AVERAGE(C20:C31)</f>
        <v>1.0335833333333333</v>
      </c>
      <c r="D42" s="9">
        <v>1.0335833333333333</v>
      </c>
      <c r="E42" s="10">
        <f>C42-D42</f>
        <v>0</v>
      </c>
    </row>
    <row r="43" spans="1:5" x14ac:dyDescent="0.25">
      <c r="A43" s="3" t="s">
        <v>193</v>
      </c>
      <c r="B43" s="3" t="s">
        <v>381</v>
      </c>
      <c r="C43" s="3">
        <f>STDEV(C20:C31)</f>
        <v>0.04570549665239865</v>
      </c>
      <c r="D43" s="9">
        <v>0.04570549665239865</v>
      </c>
      <c r="E43" s="10">
        <f>C43-D43</f>
        <v>0</v>
      </c>
    </row>
    <row r="44" spans="1:5" x14ac:dyDescent="0.25">
      <c r="A44" s="3" t="s">
        <v>382</v>
      </c>
      <c r="B44" s="3" t="s">
        <v>383</v>
      </c>
      <c r="C44" s="3">
        <f>STDEV(C20:C31)/AVERAGE(C20:C31)</f>
        <v>0.04422042730216752</v>
      </c>
      <c r="D44" s="9">
        <v>0.04422042730216752</v>
      </c>
      <c r="E44" s="10">
        <f>C44-D44</f>
        <v>0</v>
      </c>
    </row>
    <row r="46" spans="1:5" x14ac:dyDescent="0.25">
      <c r="A46" s="14" t="s">
        <v>384</v>
      </c>
      <c r="B46" s="14"/>
      <c r="C46" s="14"/>
      <c r="D46" s="14"/>
      <c r="E46" s="14"/>
    </row>
    <row r="47" spans="1:5" x14ac:dyDescent="0.25">
      <c r="A47" s="3" t="s">
        <v>385</v>
      </c>
      <c r="B47" s="3" t="s">
        <v>386</v>
      </c>
      <c r="C47" s="3">
        <f>AVERAGE(D20:E31)/100</f>
        <v>1.02125</v>
      </c>
      <c r="D47" s="9">
        <v>1.02125</v>
      </c>
      <c r="E47" s="10">
        <f>C47-D47</f>
        <v>0</v>
      </c>
    </row>
    <row r="48" spans="1:5" x14ac:dyDescent="0.25">
      <c r="A48" s="3" t="s">
        <v>387</v>
      </c>
      <c r="B48" s="3" t="s">
        <v>388</v>
      </c>
      <c r="C48" s="3">
        <f>AVERAGE(D20:E31)</f>
        <v>102.125</v>
      </c>
      <c r="D48" s="9">
        <v>102.125</v>
      </c>
      <c r="E48" s="10">
        <f>C48-D48</f>
        <v>0</v>
      </c>
    </row>
    <row r="49" spans="1:3" x14ac:dyDescent="0.25">
      <c r="A49" s="3" t="s">
        <v>389</v>
      </c>
      <c r="B49" s="3" t="s">
        <v>390</v>
      </c>
      <c r="C49" s="3">
        <f>STDEV(D20:E31)/100</f>
      </c>
    </row>
    <row r="50" spans="1:5" x14ac:dyDescent="0.25">
      <c r="A50" s="3" t="s">
        <v>75</v>
      </c>
      <c r="B50" s="3" t="s">
        <v>391</v>
      </c>
      <c r="C50" s="3">
        <f>COUNT(D20:E31)</f>
        <v>24</v>
      </c>
      <c r="D50" s="9">
        <v>24</v>
      </c>
      <c r="E50" s="10">
        <f>C50-D50</f>
        <v>0</v>
      </c>
    </row>
    <row r="51" spans="1:3" x14ac:dyDescent="0.25">
      <c r="A51" s="3" t="s">
        <v>392</v>
      </c>
      <c r="B51" s="3" t="s">
        <v>393</v>
      </c>
      <c r="C51" s="3">
        <f>(STDEV(D20:E31)/100)/SQRT(COUNT(D20:E31))</f>
      </c>
    </row>
    <row r="52" spans="1:5" x14ac:dyDescent="0.25">
      <c r="A52" s="3" t="s">
        <v>394</v>
      </c>
      <c r="B52" s="3" t="s">
        <v>395</v>
      </c>
      <c r="C52" s="3">
        <f>(1-(AVERAGE(D20:E31)/100))*100</f>
        <v>-2.124999999999999</v>
      </c>
      <c r="D52" s="9">
        <v>-2.124999999999999</v>
      </c>
      <c r="E52" s="10">
        <f>C52-D52</f>
        <v>0</v>
      </c>
    </row>
    <row r="53" spans="1:5" x14ac:dyDescent="0.25">
      <c r="A53" s="3" t="s">
        <v>396</v>
      </c>
      <c r="B53" s="3" t="s">
        <v>397</v>
      </c>
      <c r="C53" s="3">
        <f>SQRT(((1-(AVERAGE(D20:E31)/100))/SQRT(3))^2+((STDEV(D20:E31)/100)/SQRT(COUNT(D20:E31)))^2)</f>
        <v>0.014799260655249941</v>
      </c>
      <c r="D53" s="9">
        <v>0.014799260655249941</v>
      </c>
      <c r="E53" s="10">
        <f>C53-D53</f>
        <v>0</v>
      </c>
    </row>
    <row r="54" spans="1:3" x14ac:dyDescent="0.25">
      <c r="A54" s="3" t="s">
        <v>398</v>
      </c>
      <c r="B54" s="3" t="s">
        <v>399</v>
      </c>
      <c r="C54" s="3">
        <f>ABS(1-(AVERAGE(D20:E31)/100))/((STDEV(D20:E31)/100)/SQRT(COUNT(D20:E31)))</f>
      </c>
    </row>
    <row r="55" spans="1:3" x14ac:dyDescent="0.25">
      <c r="A55" s="3" t="s">
        <v>400</v>
      </c>
      <c r="B55" s="3" t="s">
        <v>401</v>
      </c>
      <c r="C55" s="3">
        <f>T.INV.2T(0.05,COUNT(D20:E31)-1)</f>
      </c>
    </row>
    <row r="57" spans="1:5" x14ac:dyDescent="0.25">
      <c r="A57" s="13" t="s">
        <v>402</v>
      </c>
      <c r="B57" s="13"/>
      <c r="C57" s="13"/>
      <c r="D57" s="13"/>
      <c r="E57" s="13"/>
    </row>
    <row r="58" spans="1:3" x14ac:dyDescent="0.25">
      <c r="A58" s="3" t="s">
        <v>178</v>
      </c>
      <c r="B58" s="3" t="s">
        <v>403</v>
      </c>
      <c r="C58" s="3">
        <f>MAX(MAX(D20:E31)-AVERAGE(D20:E31),AVERAGE(D20:E31)-MIN(D20:E31))</f>
      </c>
    </row>
    <row r="59" spans="1:3" x14ac:dyDescent="0.25">
      <c r="A59" s="3" t="s">
        <v>180</v>
      </c>
      <c r="B59" s="3" t="s">
        <v>404</v>
      </c>
      <c r="C59" s="3">
        <f>STDEV(D20:E31)</f>
      </c>
    </row>
    <row r="60" spans="1:3" x14ac:dyDescent="0.25">
      <c r="A60" s="3" t="s">
        <v>181</v>
      </c>
      <c r="B60" s="3" t="s">
        <v>405</v>
      </c>
      <c r="C60" s="3">
        <f>MAX(MAX(D20:E31)-AVERAGE(D20:E31),AVERAGE(D20:E31)-MIN(D20:E31))/STDEV(D20:E31)</f>
      </c>
    </row>
    <row r="61" spans="1:3" x14ac:dyDescent="0.25">
      <c r="A61" s="3" t="s">
        <v>183</v>
      </c>
      <c r="B61" s="3" t="s">
        <v>391</v>
      </c>
      <c r="C61" s="3">
        <f>COUNT(D20:E31)</f>
      </c>
    </row>
    <row r="62" spans="1:3" x14ac:dyDescent="0.25">
      <c r="A62" s="3" t="s">
        <v>184</v>
      </c>
      <c r="B62" s="3" t="s">
        <v>406</v>
      </c>
      <c r="C62" s="3">
        <f>IFERROR(VLOOKUP(C61,'8. Grubbs Tablosu'!A2:B30,2,FALSE),2.745)</f>
      </c>
    </row>
    <row r="63" spans="1:3" x14ac:dyDescent="0.25">
      <c r="A63" s="2" t="s">
        <v>186</v>
      </c>
      <c r="B63" s="3" t="s">
        <v>407</v>
      </c>
      <c r="C63" s="3" t="str">
        <f>IF((MAX(MAX(D20:E31)-AVERAGE(D20:E31),AVERAGE(D20:E31)-MIN(D20:E31))/STDEV(D20:E31))&gt;C62,"AYKIRI VAR (değeri inceleyin)","AYKIRI YOK (veri kabul)")</f>
        <v>AYKIRI YOK (veri kabul)</v>
      </c>
    </row>
    <row r="66" spans="1:5" x14ac:dyDescent="0.25">
      <c r="A66" s="5" t="s">
        <v>408</v>
      </c>
      <c r="B66" s="5"/>
      <c r="C66" s="5"/>
      <c r="D66" s="5"/>
      <c r="E66" s="5"/>
    </row>
    <row r="68" spans="1:5" x14ac:dyDescent="0.25">
      <c r="A68" s="7" t="s">
        <v>67</v>
      </c>
      <c r="B68" s="7" t="s">
        <v>68</v>
      </c>
      <c r="C68" s="7" t="s">
        <v>69</v>
      </c>
      <c r="D68" s="7" t="s">
        <v>372</v>
      </c>
      <c r="E68" s="7" t="s">
        <v>373</v>
      </c>
    </row>
    <row r="69" spans="1:5" x14ac:dyDescent="0.25">
      <c r="A69" s="3">
        <v>1</v>
      </c>
      <c r="B69" s="3">
        <v>1.05</v>
      </c>
      <c r="C69" s="3">
        <v>1.016</v>
      </c>
      <c r="D69" s="3">
        <f>B69/1*100</f>
      </c>
      <c r="E69" s="3">
        <f>C69/1*100</f>
      </c>
    </row>
    <row r="70" spans="1:5" x14ac:dyDescent="0.25">
      <c r="A70" s="3">
        <v>2</v>
      </c>
      <c r="B70" s="3">
        <v>1.041</v>
      </c>
      <c r="C70" s="3">
        <v>1.03</v>
      </c>
      <c r="D70" s="3">
        <f>B70/1*100</f>
      </c>
      <c r="E70" s="3">
        <f>C70/1*100</f>
      </c>
    </row>
    <row r="71" spans="1:5" x14ac:dyDescent="0.25">
      <c r="A71" s="3">
        <v>3</v>
      </c>
      <c r="B71" s="3">
        <v>1.027</v>
      </c>
      <c r="C71" s="3">
        <v>1.034</v>
      </c>
      <c r="D71" s="3">
        <f>B71/1*100</f>
      </c>
      <c r="E71" s="3">
        <f>C71/1*100</f>
      </c>
    </row>
    <row r="72" spans="1:5" x14ac:dyDescent="0.25">
      <c r="A72" s="3">
        <v>4</v>
      </c>
      <c r="B72" s="3">
        <v>1.004</v>
      </c>
      <c r="C72" s="3">
        <v>1.027</v>
      </c>
      <c r="D72" s="3">
        <f>B72/1*100</f>
      </c>
      <c r="E72" s="3">
        <f>C72/1*100</f>
      </c>
    </row>
    <row r="73" spans="1:5" x14ac:dyDescent="0.25">
      <c r="A73" s="3">
        <v>5</v>
      </c>
      <c r="B73" s="3">
        <v>1.034</v>
      </c>
      <c r="C73" s="3">
        <v>1.006</v>
      </c>
      <c r="D73" s="3">
        <f>B73/1*100</f>
      </c>
      <c r="E73" s="3">
        <f>C73/1*100</f>
      </c>
    </row>
    <row r="74" spans="1:5" x14ac:dyDescent="0.25">
      <c r="A74" s="3">
        <v>6</v>
      </c>
      <c r="B74" s="3">
        <v>0.993</v>
      </c>
      <c r="C74" s="3">
        <v>1.074</v>
      </c>
      <c r="D74" s="3">
        <f>B74/1*100</f>
      </c>
      <c r="E74" s="3">
        <f>C74/1*100</f>
      </c>
    </row>
    <row r="75" spans="1:5" x14ac:dyDescent="0.25">
      <c r="A75" s="3">
        <v>7</v>
      </c>
      <c r="B75" s="3">
        <v>1.043</v>
      </c>
      <c r="C75" s="3">
        <v>1.019</v>
      </c>
      <c r="D75" s="3">
        <f>B75/1*100</f>
      </c>
      <c r="E75" s="3">
        <f>C75/1*100</f>
      </c>
    </row>
    <row r="76" spans="1:5" x14ac:dyDescent="0.25">
      <c r="A76" s="3">
        <v>8</v>
      </c>
      <c r="B76" s="3">
        <v>1.036</v>
      </c>
      <c r="C76" s="3">
        <v>1.019</v>
      </c>
      <c r="D76" s="3">
        <f>B76/1*100</f>
      </c>
      <c r="E76" s="3">
        <f>C76/1*100</f>
      </c>
    </row>
    <row r="77" spans="1:5" x14ac:dyDescent="0.25">
      <c r="A77" s="3">
        <v>9</v>
      </c>
      <c r="B77" s="3">
        <v>0.986</v>
      </c>
      <c r="C77" s="3">
        <v>1.028</v>
      </c>
      <c r="D77" s="3">
        <f>B77/1*100</f>
      </c>
      <c r="E77" s="3">
        <f>C77/1*100</f>
      </c>
    </row>
    <row r="78" spans="1:5" x14ac:dyDescent="0.25">
      <c r="A78" s="3">
        <v>10</v>
      </c>
      <c r="B78" s="3">
        <v>1.038</v>
      </c>
      <c r="C78" s="3">
        <v>0.978</v>
      </c>
      <c r="D78" s="3">
        <f>B78/1*100</f>
      </c>
      <c r="E78" s="3">
        <f>C78/1*100</f>
      </c>
    </row>
    <row r="79" spans="1:5" x14ac:dyDescent="0.25">
      <c r="A79" s="3">
        <v>11</v>
      </c>
      <c r="B79" s="3">
        <v>0.996</v>
      </c>
      <c r="C79" s="3">
        <v>1.015</v>
      </c>
      <c r="D79" s="3">
        <f>B79/1*100</f>
      </c>
      <c r="E79" s="3">
        <f>C79/1*100</f>
      </c>
    </row>
    <row r="80" spans="1:5" x14ac:dyDescent="0.25">
      <c r="A80" s="3">
        <v>12</v>
      </c>
      <c r="B80" s="3">
        <v>1.026</v>
      </c>
      <c r="C80" s="3">
        <v>0.982</v>
      </c>
      <c r="D80" s="3">
        <f>B80/1*100</f>
      </c>
      <c r="E80" s="3">
        <f>C80/1*100</f>
      </c>
    </row>
    <row r="82" spans="1:5" x14ac:dyDescent="0.25">
      <c r="A82" s="8" t="s">
        <v>70</v>
      </c>
      <c r="B82" s="8" t="s">
        <v>112</v>
      </c>
      <c r="C82" s="8" t="s">
        <v>70</v>
      </c>
      <c r="D82" s="8" t="s">
        <v>163</v>
      </c>
      <c r="E82" s="8" t="s">
        <v>74</v>
      </c>
    </row>
    <row r="83" spans="1:5" x14ac:dyDescent="0.25">
      <c r="A83" s="12" t="s">
        <v>164</v>
      </c>
      <c r="B83" s="12"/>
      <c r="C83" s="12"/>
      <c r="D83" s="12"/>
      <c r="E83" s="12"/>
    </row>
    <row r="84" spans="1:5" x14ac:dyDescent="0.25">
      <c r="A84" s="3" t="s">
        <v>165</v>
      </c>
      <c r="B84" s="3" t="s">
        <v>409</v>
      </c>
      <c r="C84" s="3">
        <f>COUNT(B69:B80)</f>
        <v>12</v>
      </c>
      <c r="D84" s="9">
        <v>12</v>
      </c>
      <c r="E84" s="10">
        <f>C84-D84</f>
        <v>0</v>
      </c>
    </row>
    <row r="85" spans="1:5" x14ac:dyDescent="0.25">
      <c r="A85" s="3" t="s">
        <v>191</v>
      </c>
      <c r="B85" s="3" t="s">
        <v>410</v>
      </c>
      <c r="C85" s="3">
        <f>AVERAGE(B69:B80)</f>
        <v>1.0228333333333335</v>
      </c>
      <c r="D85" s="9">
        <v>1.0228333333333335</v>
      </c>
      <c r="E85" s="10">
        <f>C85-D85</f>
        <v>0</v>
      </c>
    </row>
    <row r="86" spans="1:5" x14ac:dyDescent="0.25">
      <c r="A86" s="3" t="s">
        <v>193</v>
      </c>
      <c r="B86" s="3" t="s">
        <v>411</v>
      </c>
      <c r="C86" s="3">
        <f>STDEV(B69:B80)</f>
        <v>0.02205708846414575</v>
      </c>
      <c r="D86" s="9">
        <v>0.02205708846414575</v>
      </c>
      <c r="E86" s="10">
        <f>C86-D86</f>
        <v>0</v>
      </c>
    </row>
    <row r="87" spans="1:5" x14ac:dyDescent="0.25">
      <c r="A87" s="3" t="s">
        <v>377</v>
      </c>
      <c r="B87" s="3" t="s">
        <v>412</v>
      </c>
      <c r="C87" s="3">
        <f>STDEV(B69:B80)/AVERAGE(B69:B80)</f>
        <v>0.021564694604020607</v>
      </c>
      <c r="D87" s="9">
        <v>0.021564694604020607</v>
      </c>
      <c r="E87" s="10">
        <f>C87-D87</f>
        <v>0</v>
      </c>
    </row>
    <row r="89" spans="1:5" x14ac:dyDescent="0.25">
      <c r="A89" s="12" t="s">
        <v>189</v>
      </c>
      <c r="B89" s="12"/>
      <c r="C89" s="12"/>
      <c r="D89" s="12"/>
      <c r="E89" s="12"/>
    </row>
    <row r="90" spans="1:5" x14ac:dyDescent="0.25">
      <c r="A90" s="3" t="s">
        <v>165</v>
      </c>
      <c r="B90" s="3" t="s">
        <v>413</v>
      </c>
      <c r="C90" s="3">
        <f>COUNT(C69:C80)</f>
        <v>12</v>
      </c>
      <c r="D90" s="9">
        <v>12</v>
      </c>
      <c r="E90" s="10">
        <f>C90-D90</f>
        <v>0</v>
      </c>
    </row>
    <row r="91" spans="1:5" x14ac:dyDescent="0.25">
      <c r="A91" s="3" t="s">
        <v>191</v>
      </c>
      <c r="B91" s="3" t="s">
        <v>414</v>
      </c>
      <c r="C91" s="3">
        <f>AVERAGE(C69:C80)</f>
        <v>1.019</v>
      </c>
      <c r="D91" s="9">
        <v>1.019</v>
      </c>
      <c r="E91" s="10">
        <f>C91-D91</f>
        <v>0</v>
      </c>
    </row>
    <row r="92" spans="1:5" x14ac:dyDescent="0.25">
      <c r="A92" s="3" t="s">
        <v>193</v>
      </c>
      <c r="B92" s="3" t="s">
        <v>415</v>
      </c>
      <c r="C92" s="3">
        <f>STDEV(C69:C80)</f>
        <v>0.024790027320385422</v>
      </c>
      <c r="D92" s="9">
        <v>0.024790027320385422</v>
      </c>
      <c r="E92" s="10">
        <f>C92-D92</f>
        <v>0</v>
      </c>
    </row>
    <row r="93" spans="1:5" x14ac:dyDescent="0.25">
      <c r="A93" s="3" t="s">
        <v>382</v>
      </c>
      <c r="B93" s="3" t="s">
        <v>416</v>
      </c>
      <c r="C93" s="3">
        <f>STDEV(C69:C80)/AVERAGE(C69:C80)</f>
        <v>0.024327799136786482</v>
      </c>
      <c r="D93" s="9">
        <v>0.024327799136786482</v>
      </c>
      <c r="E93" s="10">
        <f>C93-D93</f>
        <v>0</v>
      </c>
    </row>
    <row r="95" spans="1:5" x14ac:dyDescent="0.25">
      <c r="A95" s="14" t="s">
        <v>384</v>
      </c>
      <c r="B95" s="14"/>
      <c r="C95" s="14"/>
      <c r="D95" s="14"/>
      <c r="E95" s="14"/>
    </row>
    <row r="96" spans="1:5" x14ac:dyDescent="0.25">
      <c r="A96" s="3" t="s">
        <v>385</v>
      </c>
      <c r="B96" s="3" t="s">
        <v>417</v>
      </c>
      <c r="C96" s="3">
        <f>AVERAGE(D69:E80)/100</f>
        <v>1.0209166666666667</v>
      </c>
      <c r="D96" s="9">
        <v>1.0209166666666667</v>
      </c>
      <c r="E96" s="10">
        <f>C96-D96</f>
        <v>0</v>
      </c>
    </row>
    <row r="97" spans="1:5" x14ac:dyDescent="0.25">
      <c r="A97" s="3" t="s">
        <v>387</v>
      </c>
      <c r="B97" s="3" t="s">
        <v>418</v>
      </c>
      <c r="C97" s="3">
        <f>AVERAGE(D69:E80)</f>
        <v>102.09166666666667</v>
      </c>
      <c r="D97" s="9">
        <v>102.09166666666667</v>
      </c>
      <c r="E97" s="10">
        <f>C97-D97</f>
        <v>0</v>
      </c>
    </row>
    <row r="98" spans="1:3" x14ac:dyDescent="0.25">
      <c r="A98" s="3" t="s">
        <v>389</v>
      </c>
      <c r="B98" s="3" t="s">
        <v>419</v>
      </c>
      <c r="C98" s="3">
        <f>STDEV(D69:E80)/100</f>
      </c>
    </row>
    <row r="99" spans="1:5" x14ac:dyDescent="0.25">
      <c r="A99" s="3" t="s">
        <v>75</v>
      </c>
      <c r="B99" s="3" t="s">
        <v>420</v>
      </c>
      <c r="C99" s="3">
        <f>COUNT(D69:E80)</f>
        <v>24</v>
      </c>
      <c r="D99" s="9">
        <v>24</v>
      </c>
      <c r="E99" s="10">
        <f>C99-D99</f>
        <v>0</v>
      </c>
    </row>
    <row r="100" spans="1:3" x14ac:dyDescent="0.25">
      <c r="A100" s="3" t="s">
        <v>392</v>
      </c>
      <c r="B100" s="3" t="s">
        <v>421</v>
      </c>
      <c r="C100" s="3">
        <f>(STDEV(D69:E80)/100)/SQRT(COUNT(D69:E80))</f>
      </c>
    </row>
    <row r="101" spans="1:5" x14ac:dyDescent="0.25">
      <c r="A101" s="3" t="s">
        <v>394</v>
      </c>
      <c r="B101" s="3" t="s">
        <v>422</v>
      </c>
      <c r="C101" s="3">
        <f>(1-(AVERAGE(D69:E80)/100))*100</f>
        <v>-2.0916666666666694</v>
      </c>
      <c r="D101" s="9">
        <v>-2.0916666666666694</v>
      </c>
      <c r="E101" s="10">
        <f>C101-D101</f>
        <v>0</v>
      </c>
    </row>
    <row r="102" spans="1:5" x14ac:dyDescent="0.25">
      <c r="A102" s="3" t="s">
        <v>396</v>
      </c>
      <c r="B102" s="3" t="s">
        <v>423</v>
      </c>
      <c r="C102" s="3">
        <f>SQRT(((1-(AVERAGE(D69:E80)/100))/SQRT(3))^2+((STDEV(D69:E80)/100)/SQRT(COUNT(D69:E80)))^2)</f>
        <v>0.012959043000590118</v>
      </c>
      <c r="D102" s="9">
        <v>0.012959043000590118</v>
      </c>
      <c r="E102" s="10">
        <f>C102-D102</f>
        <v>0</v>
      </c>
    </row>
    <row r="103" spans="1:3" x14ac:dyDescent="0.25">
      <c r="A103" s="3" t="s">
        <v>398</v>
      </c>
      <c r="B103" s="3" t="s">
        <v>424</v>
      </c>
      <c r="C103" s="3">
        <f>ABS(1-(AVERAGE(D69:E80)/100))/((STDEV(D69:E80)/100)/SQRT(COUNT(D69:E80)))</f>
      </c>
    </row>
    <row r="104" spans="1:3" x14ac:dyDescent="0.25">
      <c r="A104" s="3" t="s">
        <v>400</v>
      </c>
      <c r="B104" s="3" t="s">
        <v>425</v>
      </c>
      <c r="C104" s="3">
        <f>T.INV.2T(0.05,COUNT(D69:E80)-1)</f>
      </c>
    </row>
    <row r="106" spans="1:5" x14ac:dyDescent="0.25">
      <c r="A106" s="13" t="s">
        <v>402</v>
      </c>
      <c r="B106" s="13"/>
      <c r="C106" s="13"/>
      <c r="D106" s="13"/>
      <c r="E106" s="13"/>
    </row>
    <row r="107" spans="1:3" x14ac:dyDescent="0.25">
      <c r="A107" s="3" t="s">
        <v>178</v>
      </c>
      <c r="B107" s="3" t="s">
        <v>426</v>
      </c>
      <c r="C107" s="3">
        <f>MAX(MAX(D69:E80)-AVERAGE(D69:E80),AVERAGE(D69:E80)-MIN(D69:E80))</f>
      </c>
    </row>
    <row r="108" spans="1:3" x14ac:dyDescent="0.25">
      <c r="A108" s="3" t="s">
        <v>180</v>
      </c>
      <c r="B108" s="3" t="s">
        <v>427</v>
      </c>
      <c r="C108" s="3">
        <f>STDEV(D69:E80)</f>
      </c>
    </row>
    <row r="109" spans="1:3" x14ac:dyDescent="0.25">
      <c r="A109" s="3" t="s">
        <v>181</v>
      </c>
      <c r="B109" s="3" t="s">
        <v>428</v>
      </c>
      <c r="C109" s="3">
        <f>MAX(MAX(D69:E80)-AVERAGE(D69:E80),AVERAGE(D69:E80)-MIN(D69:E80))/STDEV(D69:E80)</f>
      </c>
    </row>
    <row r="110" spans="1:3" x14ac:dyDescent="0.25">
      <c r="A110" s="3" t="s">
        <v>183</v>
      </c>
      <c r="B110" s="3" t="s">
        <v>420</v>
      </c>
      <c r="C110" s="3">
        <f>COUNT(D69:E80)</f>
      </c>
    </row>
    <row r="111" spans="1:3" x14ac:dyDescent="0.25">
      <c r="A111" s="3" t="s">
        <v>184</v>
      </c>
      <c r="B111" s="3" t="s">
        <v>429</v>
      </c>
      <c r="C111" s="3">
        <f>IFERROR(VLOOKUP(C110,'8. Grubbs Tablosu'!A2:B30,2,FALSE),2.745)</f>
      </c>
    </row>
    <row r="112" spans="1:3" x14ac:dyDescent="0.25">
      <c r="A112" s="2" t="s">
        <v>186</v>
      </c>
      <c r="B112" s="3" t="s">
        <v>430</v>
      </c>
      <c r="C112" s="3" t="str">
        <f>IF((MAX(MAX(D69:E80)-AVERAGE(D69:E80),AVERAGE(D69:E80)-MIN(D69:E80))/STDEV(D69:E80))&gt;C111,"AYKIRI VAR (değeri inceleyin)","AYKIRI YOK (veri kabul)")</f>
        <v>AYKIRI YOK (veri kabul)</v>
      </c>
    </row>
  </sheetData>
  <mergeCells count="24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7:E17"/>
    <mergeCell ref="A34:E34"/>
    <mergeCell ref="A40:E40"/>
    <mergeCell ref="A46:E46"/>
    <mergeCell ref="A57:E57"/>
    <mergeCell ref="A66:E66"/>
    <mergeCell ref="A83:E83"/>
    <mergeCell ref="A89:E89"/>
    <mergeCell ref="A95:E95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48" customWidth="1"/>
    <col min="2" max="2" width="60" customWidth="1"/>
    <col min="3" max="4" width="24" customWidth="1"/>
    <col min="5" max="5" width="14" customWidth="1"/>
  </cols>
  <sheetData>
    <row r="1" ht="24" customHeight="1" spans="1:5" x14ac:dyDescent="0.25">
      <c r="A1" s="1" t="s">
        <v>431</v>
      </c>
      <c r="B1" s="1"/>
      <c r="C1" s="1"/>
      <c r="D1" s="1"/>
      <c r="E1" s="1"/>
    </row>
    <row r="3" spans="1:5" x14ac:dyDescent="0.25">
      <c r="A3" s="4" t="s">
        <v>432</v>
      </c>
      <c r="B3" s="4"/>
      <c r="C3" s="4"/>
      <c r="D3" s="4"/>
      <c r="E3" s="4"/>
    </row>
    <row r="4" spans="1:5" x14ac:dyDescent="0.25">
      <c r="A4" s="3" t="s">
        <v>433</v>
      </c>
      <c r="B4" s="3"/>
      <c r="C4" s="3"/>
      <c r="D4" s="3"/>
      <c r="E4" s="3"/>
    </row>
    <row r="5" spans="1:5" x14ac:dyDescent="0.25">
      <c r="A5" s="3" t="s">
        <v>434</v>
      </c>
      <c r="B5" s="3"/>
      <c r="C5" s="3"/>
      <c r="D5" s="3"/>
      <c r="E5" s="3"/>
    </row>
    <row r="6" spans="1:5" x14ac:dyDescent="0.25">
      <c r="A6" s="3" t="s">
        <v>435</v>
      </c>
      <c r="B6" s="3"/>
      <c r="C6" s="3"/>
      <c r="D6" s="3"/>
      <c r="E6" s="3"/>
    </row>
    <row r="7" spans="1:5" x14ac:dyDescent="0.25">
      <c r="A7" s="3" t="s">
        <v>436</v>
      </c>
      <c r="B7" s="3"/>
      <c r="C7" s="3"/>
      <c r="D7" s="3"/>
      <c r="E7" s="3"/>
    </row>
    <row r="8" spans="1:5" x14ac:dyDescent="0.25">
      <c r="A8" s="3" t="s">
        <v>437</v>
      </c>
      <c r="B8" s="3"/>
      <c r="C8" s="3"/>
      <c r="D8" s="3"/>
      <c r="E8" s="3"/>
    </row>
    <row r="9" spans="1:5" x14ac:dyDescent="0.25">
      <c r="A9" s="3" t="s">
        <v>438</v>
      </c>
      <c r="B9" s="3"/>
      <c r="C9" s="3"/>
      <c r="D9" s="3"/>
      <c r="E9" s="3"/>
    </row>
    <row r="11" spans="1:5" x14ac:dyDescent="0.25">
      <c r="A11" s="5" t="s">
        <v>439</v>
      </c>
      <c r="B11" s="5"/>
      <c r="C11" s="5"/>
      <c r="D11" s="5"/>
      <c r="E11" s="5"/>
    </row>
    <row r="12" spans="1:5" x14ac:dyDescent="0.25">
      <c r="A12" s="3" t="s">
        <v>440</v>
      </c>
      <c r="B12" s="3"/>
      <c r="C12" s="3"/>
      <c r="D12" s="3"/>
      <c r="E12" s="3"/>
    </row>
    <row r="14" spans="1:5" x14ac:dyDescent="0.25">
      <c r="A14" s="8" t="s">
        <v>441</v>
      </c>
      <c r="B14" s="8" t="s">
        <v>442</v>
      </c>
      <c r="C14" s="8" t="s">
        <v>443</v>
      </c>
      <c r="D14" s="8" t="s">
        <v>444</v>
      </c>
      <c r="E14" s="8" t="s">
        <v>445</v>
      </c>
    </row>
    <row r="15" spans="1:4" x14ac:dyDescent="0.25">
      <c r="A15" s="3" t="s">
        <v>446</v>
      </c>
      <c r="B15" s="3" t="s">
        <v>447</v>
      </c>
      <c r="C15" s="3">
        <v>0.0070476629415465765</v>
      </c>
      <c r="D15" s="3">
        <f>C15^2</f>
      </c>
    </row>
    <row r="16" spans="1:4" x14ac:dyDescent="0.25">
      <c r="A16" s="3" t="s">
        <v>448</v>
      </c>
      <c r="B16" s="3" t="s">
        <v>449</v>
      </c>
      <c r="C16" s="3">
        <v>0.0379014952527691</v>
      </c>
      <c r="D16" s="3">
        <f>C16^2</f>
      </c>
    </row>
    <row r="17" spans="1:4" x14ac:dyDescent="0.25">
      <c r="A17" s="3" t="s">
        <v>450</v>
      </c>
      <c r="B17" s="3" t="s">
        <v>451</v>
      </c>
      <c r="C17" s="3">
        <v>0.039345271494356654</v>
      </c>
      <c r="D17" s="3">
        <f>C17^2</f>
      </c>
    </row>
    <row r="18" spans="1:4" x14ac:dyDescent="0.25">
      <c r="A18" s="3" t="s">
        <v>452</v>
      </c>
      <c r="B18" s="3" t="s">
        <v>453</v>
      </c>
      <c r="C18" s="3">
        <v>0.014799260655249941</v>
      </c>
      <c r="D18" s="3">
        <f>C18^2</f>
      </c>
    </row>
    <row r="19" spans="1:4" x14ac:dyDescent="0.25">
      <c r="A19" s="3" t="s">
        <v>454</v>
      </c>
      <c r="B19" s="3" t="s">
        <v>455</v>
      </c>
      <c r="C19" s="3">
        <v>0</v>
      </c>
      <c r="D19" s="3">
        <f>C19^2</f>
      </c>
    </row>
    <row r="20" spans="1:4" x14ac:dyDescent="0.25">
      <c r="A20" s="3" t="s">
        <v>456</v>
      </c>
      <c r="B20" s="3" t="s">
        <v>457</v>
      </c>
      <c r="C20" s="3">
        <v>0</v>
      </c>
      <c r="D20" s="3">
        <f>C20^2</f>
      </c>
    </row>
    <row r="21" spans="1:4" x14ac:dyDescent="0.25">
      <c r="A21" s="2" t="s">
        <v>458</v>
      </c>
      <c r="D21" s="2">
        <f>SUM(D15:D20)</f>
      </c>
    </row>
    <row r="22" spans="1:3" x14ac:dyDescent="0.25">
      <c r="A22" s="2" t="s">
        <v>459</v>
      </c>
      <c r="B22" s="3" t="s">
        <v>460</v>
      </c>
      <c r="C22" s="2">
        <f>SQRT(D21)</f>
      </c>
    </row>
    <row r="23" spans="1:3" x14ac:dyDescent="0.25">
      <c r="A23" s="3" t="s">
        <v>461</v>
      </c>
      <c r="C23" s="3">
        <v>2</v>
      </c>
    </row>
    <row r="24" spans="1:3" x14ac:dyDescent="0.25">
      <c r="A24" s="15" t="s">
        <v>462</v>
      </c>
      <c r="B24" s="3" t="s">
        <v>463</v>
      </c>
      <c r="C24" s="15">
        <f>C23*C22</f>
      </c>
    </row>
    <row r="26" spans="1:5" x14ac:dyDescent="0.25">
      <c r="A26" s="5" t="s">
        <v>464</v>
      </c>
      <c r="B26" s="5"/>
      <c r="C26" s="5"/>
      <c r="D26" s="5"/>
      <c r="E26" s="5"/>
    </row>
    <row r="27" spans="1:5" x14ac:dyDescent="0.25">
      <c r="A27" s="3" t="s">
        <v>446</v>
      </c>
      <c r="E27" s="3">
        <f>D15/D21*100</f>
      </c>
    </row>
    <row r="28" spans="1:5" x14ac:dyDescent="0.25">
      <c r="A28" s="3" t="s">
        <v>448</v>
      </c>
      <c r="E28" s="3">
        <f>D16/D21*100</f>
      </c>
    </row>
    <row r="29" spans="1:5" x14ac:dyDescent="0.25">
      <c r="A29" s="3" t="s">
        <v>450</v>
      </c>
      <c r="E29" s="3">
        <f>D17/D21*100</f>
      </c>
    </row>
    <row r="30" spans="1:5" x14ac:dyDescent="0.25">
      <c r="A30" s="3" t="s">
        <v>452</v>
      </c>
      <c r="E30" s="3">
        <f>D18/D21*100</f>
      </c>
    </row>
    <row r="31" spans="1:5" x14ac:dyDescent="0.25">
      <c r="A31" s="3" t="s">
        <v>454</v>
      </c>
      <c r="E31" s="3">
        <f>D19/D21*100</f>
      </c>
    </row>
    <row r="32" spans="1:5" x14ac:dyDescent="0.25">
      <c r="A32" s="3" t="s">
        <v>456</v>
      </c>
      <c r="E32" s="3">
        <f>D20/D21*100</f>
      </c>
    </row>
    <row r="34" ht="32" customHeight="1" spans="1:5" x14ac:dyDescent="0.25">
      <c r="A34" s="16" t="s">
        <v>465</v>
      </c>
      <c r="B34" s="16"/>
      <c r="C34" s="16"/>
      <c r="D34" s="16"/>
      <c r="E34" s="16"/>
    </row>
  </sheetData>
  <mergeCells count="12">
    <mergeCell ref="A1:E1"/>
    <mergeCell ref="A3:E3"/>
    <mergeCell ref="A4:E4"/>
    <mergeCell ref="A5:E5"/>
    <mergeCell ref="A6:E6"/>
    <mergeCell ref="A7:E7"/>
    <mergeCell ref="A8:E8"/>
    <mergeCell ref="A9:E9"/>
    <mergeCell ref="A11:E11"/>
    <mergeCell ref="A12:E12"/>
    <mergeCell ref="A26:E26"/>
    <mergeCell ref="A34:E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8" customWidth="1"/>
    <col min="2" max="2" width="14" customWidth="1"/>
    <col min="3" max="3" width="4" customWidth="1"/>
    <col min="4" max="4" width="70" customWidth="1"/>
  </cols>
  <sheetData>
    <row r="1" spans="1:4" x14ac:dyDescent="0.25">
      <c r="A1" s="8" t="s">
        <v>165</v>
      </c>
      <c r="B1" s="8" t="s">
        <v>466</v>
      </c>
      <c r="D1" s="1" t="s">
        <v>467</v>
      </c>
    </row>
    <row r="2" spans="1:4" x14ac:dyDescent="0.25">
      <c r="A2" s="3">
        <v>3</v>
      </c>
      <c r="B2" s="3">
        <v>1.153</v>
      </c>
      <c r="D2" s="3" t="s">
        <v>468</v>
      </c>
    </row>
    <row r="3" spans="1:4" x14ac:dyDescent="0.25">
      <c r="A3" s="3">
        <v>4</v>
      </c>
      <c r="B3" s="3">
        <v>1.463</v>
      </c>
      <c r="D3" s="3" t="s">
        <v>469</v>
      </c>
    </row>
    <row r="4" spans="1:4" x14ac:dyDescent="0.25">
      <c r="A4" s="3">
        <v>5</v>
      </c>
      <c r="B4" s="3">
        <v>1.672</v>
      </c>
      <c r="D4" s="3" t="s">
        <v>470</v>
      </c>
    </row>
    <row r="5" spans="1:4" x14ac:dyDescent="0.25">
      <c r="A5" s="3">
        <v>6</v>
      </c>
      <c r="B5" s="3">
        <v>1.822</v>
      </c>
      <c r="D5" s="3" t="s">
        <v>29</v>
      </c>
    </row>
    <row r="6" spans="1:4" x14ac:dyDescent="0.25">
      <c r="A6" s="3">
        <v>7</v>
      </c>
      <c r="B6" s="3">
        <v>1.938</v>
      </c>
      <c r="D6" s="3" t="s">
        <v>471</v>
      </c>
    </row>
    <row r="7" spans="1:4" x14ac:dyDescent="0.25">
      <c r="A7" s="3">
        <v>8</v>
      </c>
      <c r="B7" s="3">
        <v>2.032</v>
      </c>
      <c r="D7" s="3" t="s">
        <v>472</v>
      </c>
    </row>
    <row r="8" spans="1:4" x14ac:dyDescent="0.25">
      <c r="A8" s="3">
        <v>9</v>
      </c>
      <c r="B8" s="3">
        <v>2.11</v>
      </c>
      <c r="D8" s="3" t="s">
        <v>473</v>
      </c>
    </row>
    <row r="9" spans="1:4" x14ac:dyDescent="0.25">
      <c r="A9" s="3">
        <v>10</v>
      </c>
      <c r="B9" s="3">
        <v>2.176</v>
      </c>
      <c r="D9" s="3" t="s">
        <v>29</v>
      </c>
    </row>
    <row r="10" spans="1:4" x14ac:dyDescent="0.25">
      <c r="A10" s="3">
        <v>11</v>
      </c>
      <c r="B10" s="3">
        <v>2.234</v>
      </c>
      <c r="D10" s="3" t="s">
        <v>474</v>
      </c>
    </row>
    <row r="11" spans="1:4" x14ac:dyDescent="0.25">
      <c r="A11" s="3">
        <v>12</v>
      </c>
      <c r="B11" s="3">
        <v>2.285</v>
      </c>
      <c r="D11" s="3" t="s">
        <v>475</v>
      </c>
    </row>
    <row r="12" spans="1:4" x14ac:dyDescent="0.25">
      <c r="A12" s="3">
        <v>13</v>
      </c>
      <c r="B12" s="3">
        <v>2.331</v>
      </c>
      <c r="D12" s="3" t="s">
        <v>476</v>
      </c>
    </row>
    <row r="13" spans="1:4" x14ac:dyDescent="0.25">
      <c r="A13" s="3">
        <v>14</v>
      </c>
      <c r="B13" s="3">
        <v>2.371</v>
      </c>
      <c r="D13" s="3" t="s">
        <v>29</v>
      </c>
    </row>
    <row r="14" spans="1:4" x14ac:dyDescent="0.25">
      <c r="A14" s="3">
        <v>15</v>
      </c>
      <c r="B14" s="3">
        <v>2.409</v>
      </c>
      <c r="D14" s="3" t="s">
        <v>477</v>
      </c>
    </row>
    <row r="15" spans="1:4" x14ac:dyDescent="0.25">
      <c r="A15" s="3">
        <v>16</v>
      </c>
      <c r="B15" s="3">
        <v>2.443</v>
      </c>
      <c r="D15" s="3" t="s">
        <v>29</v>
      </c>
    </row>
    <row r="16" spans="1:4" x14ac:dyDescent="0.25">
      <c r="A16" s="3">
        <v>17</v>
      </c>
      <c r="B16" s="3">
        <v>2.475</v>
      </c>
      <c r="D16" s="3" t="s">
        <v>478</v>
      </c>
    </row>
    <row r="17" spans="1:2" x14ac:dyDescent="0.25">
      <c r="A17" s="3">
        <v>18</v>
      </c>
      <c r="B17" s="3">
        <v>2.504</v>
      </c>
    </row>
    <row r="18" spans="1:2" x14ac:dyDescent="0.25">
      <c r="A18" s="3">
        <v>19</v>
      </c>
      <c r="B18" s="3">
        <v>2.532</v>
      </c>
    </row>
    <row r="19" spans="1:2" x14ac:dyDescent="0.25">
      <c r="A19" s="3">
        <v>20</v>
      </c>
      <c r="B19" s="3">
        <v>2.557</v>
      </c>
    </row>
    <row r="20" spans="1:2" x14ac:dyDescent="0.25">
      <c r="A20" s="3">
        <v>21</v>
      </c>
      <c r="B20" s="3">
        <v>2.58</v>
      </c>
    </row>
    <row r="21" spans="1:2" x14ac:dyDescent="0.25">
      <c r="A21" s="3">
        <v>22</v>
      </c>
      <c r="B21" s="3">
        <v>2.603</v>
      </c>
    </row>
    <row r="22" spans="1:2" x14ac:dyDescent="0.25">
      <c r="A22" s="3">
        <v>23</v>
      </c>
      <c r="B22" s="3">
        <v>2.624</v>
      </c>
    </row>
    <row r="23" spans="1:2" x14ac:dyDescent="0.25">
      <c r="A23" s="3">
        <v>24</v>
      </c>
      <c r="B23" s="3">
        <v>2.644</v>
      </c>
    </row>
    <row r="24" spans="1:2" x14ac:dyDescent="0.25">
      <c r="A24" s="3">
        <v>25</v>
      </c>
      <c r="B24" s="3">
        <v>2.663</v>
      </c>
    </row>
    <row r="25" spans="1:2" x14ac:dyDescent="0.25">
      <c r="A25" s="3">
        <v>26</v>
      </c>
      <c r="B25" s="3">
        <v>2.681</v>
      </c>
    </row>
    <row r="26" spans="1:2" x14ac:dyDescent="0.25">
      <c r="A26" s="3">
        <v>27</v>
      </c>
      <c r="B26" s="3">
        <v>2.698</v>
      </c>
    </row>
    <row r="27" spans="1:2" x14ac:dyDescent="0.25">
      <c r="A27" s="3">
        <v>28</v>
      </c>
      <c r="B27" s="3">
        <v>2.714</v>
      </c>
    </row>
    <row r="28" spans="1:2" x14ac:dyDescent="0.25">
      <c r="A28" s="3">
        <v>29</v>
      </c>
      <c r="B28" s="3">
        <v>2.73</v>
      </c>
    </row>
    <row r="29" spans="1:2" x14ac:dyDescent="0.25">
      <c r="A29" s="3">
        <v>30</v>
      </c>
      <c r="B29" s="3">
        <v>2.745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cols>
    <col min="1" max="1" width="32" customWidth="1"/>
    <col min="2" max="2" width="38" customWidth="1"/>
    <col min="3" max="3" width="50" customWidth="1"/>
    <col min="4" max="4" width="16" customWidth="1"/>
    <col min="5" max="5" width="50" customWidth="1"/>
  </cols>
  <sheetData>
    <row r="1" ht="24" customHeight="1" spans="1:5" x14ac:dyDescent="0.25">
      <c r="A1" s="1" t="s">
        <v>479</v>
      </c>
      <c r="B1" s="1"/>
      <c r="C1" s="1"/>
      <c r="D1" s="1"/>
      <c r="E1" s="1"/>
    </row>
    <row r="3" spans="1:5" x14ac:dyDescent="0.25">
      <c r="A3" s="4" t="s">
        <v>480</v>
      </c>
      <c r="B3" s="4"/>
      <c r="C3" s="4"/>
      <c r="D3" s="4"/>
      <c r="E3" s="4"/>
    </row>
    <row r="4" spans="1:5" x14ac:dyDescent="0.25">
      <c r="A4" s="2" t="s">
        <v>481</v>
      </c>
      <c r="B4" s="6" t="s">
        <v>482</v>
      </c>
      <c r="C4" s="6"/>
      <c r="D4" s="6"/>
      <c r="E4" s="6"/>
    </row>
    <row r="5" spans="1:5" x14ac:dyDescent="0.25">
      <c r="A5" s="2" t="s">
        <v>483</v>
      </c>
      <c r="B5" s="6" t="s">
        <v>484</v>
      </c>
      <c r="C5" s="6"/>
      <c r="D5" s="6"/>
      <c r="E5" s="6"/>
    </row>
    <row r="6" spans="1:5" x14ac:dyDescent="0.25">
      <c r="A6" s="2" t="s">
        <v>485</v>
      </c>
      <c r="B6" s="6" t="s">
        <v>486</v>
      </c>
      <c r="C6" s="6"/>
      <c r="D6" s="6"/>
      <c r="E6" s="6"/>
    </row>
    <row r="7" spans="1:5" x14ac:dyDescent="0.25">
      <c r="A7" s="2" t="s">
        <v>487</v>
      </c>
      <c r="B7" s="6" t="s">
        <v>488</v>
      </c>
      <c r="C7" s="6"/>
      <c r="D7" s="6"/>
      <c r="E7" s="6"/>
    </row>
    <row r="8" spans="1:5" x14ac:dyDescent="0.25">
      <c r="A8" s="2" t="s">
        <v>489</v>
      </c>
      <c r="B8" s="6" t="s">
        <v>490</v>
      </c>
      <c r="C8" s="6"/>
      <c r="D8" s="6"/>
      <c r="E8" s="6"/>
    </row>
    <row r="9" spans="1:5" x14ac:dyDescent="0.25">
      <c r="A9" s="2" t="s">
        <v>491</v>
      </c>
      <c r="B9" s="6" t="s">
        <v>492</v>
      </c>
      <c r="C9" s="6"/>
      <c r="D9" s="6"/>
      <c r="E9" s="6"/>
    </row>
    <row r="11" spans="1:5" x14ac:dyDescent="0.25">
      <c r="A11" s="4" t="s">
        <v>493</v>
      </c>
      <c r="B11" s="4"/>
      <c r="C11" s="4"/>
      <c r="D11" s="4"/>
      <c r="E11" s="4"/>
    </row>
    <row r="12" spans="1:5" x14ac:dyDescent="0.25">
      <c r="A12" s="8" t="s">
        <v>494</v>
      </c>
      <c r="B12" s="8" t="s">
        <v>495</v>
      </c>
      <c r="C12" s="8" t="s">
        <v>496</v>
      </c>
      <c r="D12" s="8" t="s">
        <v>497</v>
      </c>
      <c r="E12" s="8" t="s">
        <v>442</v>
      </c>
    </row>
    <row r="13" ht="56" customHeight="1" spans="1:5" x14ac:dyDescent="0.25">
      <c r="A13" s="17" t="s">
        <v>80</v>
      </c>
      <c r="B13" s="18" t="s">
        <v>498</v>
      </c>
      <c r="C13" s="18" t="s">
        <v>499</v>
      </c>
      <c r="D13" s="19" t="s">
        <v>500</v>
      </c>
      <c r="E13" s="18" t="s">
        <v>501</v>
      </c>
    </row>
    <row r="14" ht="56" customHeight="1" spans="1:5" x14ac:dyDescent="0.25">
      <c r="A14" s="17" t="s">
        <v>82</v>
      </c>
      <c r="B14" s="18" t="s">
        <v>502</v>
      </c>
      <c r="C14" s="18" t="s">
        <v>503</v>
      </c>
      <c r="D14" s="19" t="s">
        <v>500</v>
      </c>
      <c r="E14" s="18" t="s">
        <v>504</v>
      </c>
    </row>
    <row r="15" ht="56" customHeight="1" spans="1:5" x14ac:dyDescent="0.25">
      <c r="A15" s="17" t="s">
        <v>505</v>
      </c>
      <c r="B15" s="18" t="s">
        <v>506</v>
      </c>
      <c r="C15" s="18" t="s">
        <v>507</v>
      </c>
      <c r="D15" s="19" t="s">
        <v>500</v>
      </c>
      <c r="E15" s="18" t="s">
        <v>508</v>
      </c>
    </row>
    <row r="16" ht="56" customHeight="1" spans="1:5" x14ac:dyDescent="0.25">
      <c r="A16" s="17" t="s">
        <v>509</v>
      </c>
      <c r="B16" s="18" t="s">
        <v>510</v>
      </c>
      <c r="C16" s="18" t="s">
        <v>511</v>
      </c>
      <c r="D16" s="20" t="s">
        <v>512</v>
      </c>
      <c r="E16" s="18" t="s">
        <v>513</v>
      </c>
    </row>
    <row r="17" ht="56" customHeight="1" spans="1:5" x14ac:dyDescent="0.25">
      <c r="A17" s="17" t="s">
        <v>514</v>
      </c>
      <c r="B17" s="18" t="s">
        <v>515</v>
      </c>
      <c r="C17" s="18" t="s">
        <v>516</v>
      </c>
      <c r="D17" s="19" t="s">
        <v>500</v>
      </c>
      <c r="E17" s="18" t="s">
        <v>517</v>
      </c>
    </row>
    <row r="18" ht="56" customHeight="1" spans="1:5" x14ac:dyDescent="0.25">
      <c r="A18" s="17" t="s">
        <v>518</v>
      </c>
      <c r="B18" s="18" t="s">
        <v>519</v>
      </c>
      <c r="C18" s="18" t="s">
        <v>520</v>
      </c>
      <c r="D18" s="19" t="s">
        <v>500</v>
      </c>
      <c r="E18" s="18" t="s">
        <v>521</v>
      </c>
    </row>
    <row r="19" ht="56" customHeight="1" spans="1:5" x14ac:dyDescent="0.25">
      <c r="A19" s="17" t="s">
        <v>522</v>
      </c>
      <c r="B19" s="18" t="s">
        <v>523</v>
      </c>
      <c r="C19" s="18" t="s">
        <v>524</v>
      </c>
      <c r="D19" s="19" t="s">
        <v>500</v>
      </c>
      <c r="E19" s="18" t="s">
        <v>525</v>
      </c>
    </row>
    <row r="20" ht="56" customHeight="1" spans="1:5" x14ac:dyDescent="0.25">
      <c r="A20" s="17" t="s">
        <v>526</v>
      </c>
      <c r="B20" s="18" t="s">
        <v>527</v>
      </c>
      <c r="C20" s="18" t="s">
        <v>528</v>
      </c>
      <c r="D20" s="19" t="s">
        <v>500</v>
      </c>
      <c r="E20" s="18" t="s">
        <v>529</v>
      </c>
    </row>
    <row r="21" ht="56" customHeight="1" spans="1:5" x14ac:dyDescent="0.25">
      <c r="A21" s="17" t="s">
        <v>530</v>
      </c>
      <c r="B21" s="18" t="s">
        <v>531</v>
      </c>
      <c r="C21" s="18" t="s">
        <v>532</v>
      </c>
      <c r="D21" s="19" t="s">
        <v>500</v>
      </c>
      <c r="E21" s="18" t="s">
        <v>533</v>
      </c>
    </row>
    <row r="22" ht="56" customHeight="1" spans="1:5" x14ac:dyDescent="0.25">
      <c r="A22" s="17" t="s">
        <v>534</v>
      </c>
      <c r="B22" s="18" t="s">
        <v>535</v>
      </c>
      <c r="C22" s="18" t="s">
        <v>536</v>
      </c>
      <c r="D22" s="19" t="s">
        <v>500</v>
      </c>
      <c r="E22" s="18" t="s">
        <v>537</v>
      </c>
    </row>
    <row r="23" ht="56" customHeight="1" spans="1:5" x14ac:dyDescent="0.25">
      <c r="A23" s="17" t="s">
        <v>538</v>
      </c>
      <c r="B23" s="18" t="s">
        <v>539</v>
      </c>
      <c r="C23" s="18" t="s">
        <v>540</v>
      </c>
      <c r="D23" s="19" t="s">
        <v>500</v>
      </c>
      <c r="E23" s="18" t="s">
        <v>541</v>
      </c>
    </row>
    <row r="24" ht="56" customHeight="1" spans="1:5" x14ac:dyDescent="0.25">
      <c r="A24" s="17" t="s">
        <v>542</v>
      </c>
      <c r="B24" s="18" t="s">
        <v>543</v>
      </c>
      <c r="C24" s="18" t="s">
        <v>544</v>
      </c>
      <c r="D24" s="19" t="s">
        <v>500</v>
      </c>
      <c r="E24" s="18" t="s">
        <v>545</v>
      </c>
    </row>
    <row r="25" ht="56" customHeight="1" spans="1:5" x14ac:dyDescent="0.25">
      <c r="A25" s="17" t="s">
        <v>394</v>
      </c>
      <c r="B25" s="18" t="s">
        <v>546</v>
      </c>
      <c r="C25" s="18" t="s">
        <v>547</v>
      </c>
      <c r="D25" s="19" t="s">
        <v>500</v>
      </c>
      <c r="E25" s="18" t="s">
        <v>548</v>
      </c>
    </row>
    <row r="26" ht="56" customHeight="1" spans="1:5" x14ac:dyDescent="0.25">
      <c r="A26" s="17" t="s">
        <v>549</v>
      </c>
      <c r="B26" s="18" t="s">
        <v>550</v>
      </c>
      <c r="C26" s="18" t="s">
        <v>551</v>
      </c>
      <c r="D26" s="19" t="s">
        <v>500</v>
      </c>
      <c r="E26" s="18" t="s">
        <v>552</v>
      </c>
    </row>
    <row r="27" ht="56" customHeight="1" spans="1:5" x14ac:dyDescent="0.25">
      <c r="A27" s="17" t="s">
        <v>553</v>
      </c>
      <c r="B27" s="18" t="s">
        <v>554</v>
      </c>
      <c r="C27" s="18" t="s">
        <v>555</v>
      </c>
      <c r="D27" s="19" t="s">
        <v>500</v>
      </c>
      <c r="E27" s="18" t="s">
        <v>556</v>
      </c>
    </row>
    <row r="28" ht="56" customHeight="1" spans="1:5" x14ac:dyDescent="0.25">
      <c r="A28" s="17" t="s">
        <v>557</v>
      </c>
      <c r="B28" s="18" t="s">
        <v>558</v>
      </c>
      <c r="C28" s="18" t="s">
        <v>559</v>
      </c>
      <c r="D28" s="19" t="s">
        <v>500</v>
      </c>
      <c r="E28" s="18" t="s">
        <v>560</v>
      </c>
    </row>
    <row r="29" ht="56" customHeight="1" spans="1:5" x14ac:dyDescent="0.25">
      <c r="A29" s="17" t="s">
        <v>561</v>
      </c>
      <c r="B29" s="18" t="s">
        <v>562</v>
      </c>
      <c r="C29" s="18" t="s">
        <v>563</v>
      </c>
      <c r="D29" s="19" t="s">
        <v>500</v>
      </c>
      <c r="E29" s="18" t="s">
        <v>564</v>
      </c>
    </row>
    <row r="30" ht="56" customHeight="1" spans="1:5" x14ac:dyDescent="0.25">
      <c r="A30" s="17" t="s">
        <v>565</v>
      </c>
      <c r="B30" s="18" t="s">
        <v>566</v>
      </c>
      <c r="C30" s="18" t="s">
        <v>567</v>
      </c>
      <c r="D30" s="19" t="s">
        <v>500</v>
      </c>
      <c r="E30" s="18" t="s">
        <v>568</v>
      </c>
    </row>
    <row r="31" ht="56" customHeight="1" spans="1:5" x14ac:dyDescent="0.25">
      <c r="A31" s="17" t="s">
        <v>569</v>
      </c>
      <c r="B31" s="18" t="s">
        <v>570</v>
      </c>
      <c r="C31" s="18" t="s">
        <v>571</v>
      </c>
      <c r="D31" s="19" t="s">
        <v>500</v>
      </c>
      <c r="E31" s="18" t="s">
        <v>572</v>
      </c>
    </row>
    <row r="32" ht="56" customHeight="1" spans="1:5" x14ac:dyDescent="0.25">
      <c r="A32" s="17" t="s">
        <v>573</v>
      </c>
      <c r="B32" s="18" t="s">
        <v>574</v>
      </c>
      <c r="C32" s="18" t="s">
        <v>575</v>
      </c>
      <c r="D32" s="19" t="s">
        <v>500</v>
      </c>
      <c r="E32" s="18" t="s">
        <v>576</v>
      </c>
    </row>
    <row r="33" ht="56" customHeight="1" spans="1:5" x14ac:dyDescent="0.25">
      <c r="A33" s="17" t="s">
        <v>577</v>
      </c>
      <c r="B33" s="18" t="s">
        <v>578</v>
      </c>
      <c r="C33" s="18" t="s">
        <v>579</v>
      </c>
      <c r="D33" s="19" t="s">
        <v>500</v>
      </c>
      <c r="E33" s="18" t="s">
        <v>580</v>
      </c>
    </row>
    <row r="36" spans="1:5" x14ac:dyDescent="0.25">
      <c r="A36" s="4" t="s">
        <v>581</v>
      </c>
      <c r="B36" s="4"/>
      <c r="C36" s="4"/>
      <c r="D36" s="4"/>
      <c r="E36" s="4"/>
    </row>
    <row r="37" spans="1:5" x14ac:dyDescent="0.25">
      <c r="A37" s="6" t="s">
        <v>582</v>
      </c>
      <c r="B37" s="6"/>
      <c r="C37" s="6"/>
      <c r="D37" s="6"/>
      <c r="E37" s="6"/>
    </row>
    <row r="38" spans="1:5" x14ac:dyDescent="0.25">
      <c r="A38" s="6" t="s">
        <v>583</v>
      </c>
      <c r="B38" s="6"/>
      <c r="C38" s="6"/>
      <c r="D38" s="6"/>
      <c r="E38" s="6"/>
    </row>
    <row r="39" spans="1:5" x14ac:dyDescent="0.25">
      <c r="A39" s="6" t="s">
        <v>584</v>
      </c>
      <c r="B39" s="6"/>
      <c r="C39" s="6"/>
      <c r="D39" s="6"/>
      <c r="E39" s="6"/>
    </row>
    <row r="40" spans="1:5" x14ac:dyDescent="0.25">
      <c r="A40" s="6" t="s">
        <v>29</v>
      </c>
      <c r="B40" s="6"/>
      <c r="C40" s="6"/>
      <c r="D40" s="6"/>
      <c r="E40" s="6"/>
    </row>
    <row r="41" spans="1:5" x14ac:dyDescent="0.25">
      <c r="A41" s="6" t="s">
        <v>585</v>
      </c>
      <c r="B41" s="6"/>
      <c r="C41" s="6"/>
      <c r="D41" s="6"/>
      <c r="E41" s="6"/>
    </row>
    <row r="42" spans="1:5" x14ac:dyDescent="0.25">
      <c r="A42" s="6" t="s">
        <v>586</v>
      </c>
      <c r="B42" s="6"/>
      <c r="C42" s="6"/>
      <c r="D42" s="6"/>
      <c r="E42" s="6"/>
    </row>
    <row r="43" spans="1:5" x14ac:dyDescent="0.25">
      <c r="A43" s="6" t="s">
        <v>587</v>
      </c>
      <c r="B43" s="6"/>
      <c r="C43" s="6"/>
      <c r="D43" s="6"/>
      <c r="E43" s="6"/>
    </row>
    <row r="44" spans="1:5" x14ac:dyDescent="0.25">
      <c r="A44" s="6" t="s">
        <v>588</v>
      </c>
      <c r="B44" s="6"/>
      <c r="C44" s="6"/>
      <c r="D44" s="6"/>
      <c r="E44" s="6"/>
    </row>
    <row r="45" spans="1:5" x14ac:dyDescent="0.25">
      <c r="A45" s="6" t="s">
        <v>589</v>
      </c>
      <c r="B45" s="6"/>
      <c r="C45" s="6"/>
      <c r="D45" s="6"/>
      <c r="E45" s="6"/>
    </row>
    <row r="46" spans="1:5" x14ac:dyDescent="0.25">
      <c r="A46" s="6" t="s">
        <v>590</v>
      </c>
      <c r="B46" s="6"/>
      <c r="C46" s="6"/>
      <c r="D46" s="6"/>
      <c r="E46" s="6"/>
    </row>
    <row r="47" spans="1:5" x14ac:dyDescent="0.25">
      <c r="A47" s="6" t="s">
        <v>591</v>
      </c>
      <c r="B47" s="6"/>
      <c r="C47" s="6"/>
      <c r="D47" s="6"/>
      <c r="E47" s="6"/>
    </row>
    <row r="48" spans="1:5" x14ac:dyDescent="0.25">
      <c r="A48" s="6" t="s">
        <v>29</v>
      </c>
      <c r="B48" s="6"/>
      <c r="C48" s="6"/>
      <c r="D48" s="6"/>
      <c r="E48" s="6"/>
    </row>
    <row r="49" spans="1:5" x14ac:dyDescent="0.25">
      <c r="A49" s="6" t="s">
        <v>592</v>
      </c>
      <c r="B49" s="6"/>
      <c r="C49" s="6"/>
      <c r="D49" s="6"/>
      <c r="E49" s="6"/>
    </row>
    <row r="50" spans="1:5" x14ac:dyDescent="0.25">
      <c r="A50" s="6" t="s">
        <v>593</v>
      </c>
      <c r="B50" s="6"/>
      <c r="C50" s="6"/>
      <c r="D50" s="6"/>
      <c r="E50" s="6"/>
    </row>
    <row r="51" spans="1:5" x14ac:dyDescent="0.25">
      <c r="A51" s="6" t="s">
        <v>594</v>
      </c>
      <c r="B51" s="6"/>
      <c r="C51" s="6"/>
      <c r="D51" s="6"/>
      <c r="E51" s="6"/>
    </row>
    <row r="52" spans="1:5" x14ac:dyDescent="0.25">
      <c r="A52" s="6" t="s">
        <v>595</v>
      </c>
      <c r="B52" s="6"/>
      <c r="C52" s="6"/>
      <c r="D52" s="6"/>
      <c r="E52" s="6"/>
    </row>
    <row r="53" spans="1:5" x14ac:dyDescent="0.25">
      <c r="A53" s="6" t="s">
        <v>29</v>
      </c>
      <c r="B53" s="6"/>
      <c r="C53" s="6"/>
      <c r="D53" s="6"/>
      <c r="E53" s="6"/>
    </row>
    <row r="54" spans="1:5" x14ac:dyDescent="0.25">
      <c r="A54" s="6" t="s">
        <v>596</v>
      </c>
      <c r="B54" s="6"/>
      <c r="C54" s="6"/>
      <c r="D54" s="6"/>
      <c r="E54" s="6"/>
    </row>
  </sheetData>
  <mergeCells count="28">
    <mergeCell ref="A1:E1"/>
    <mergeCell ref="A3:E3"/>
    <mergeCell ref="B4:E4"/>
    <mergeCell ref="B5:E5"/>
    <mergeCell ref="B6:E6"/>
    <mergeCell ref="B7:E7"/>
    <mergeCell ref="B8:E8"/>
    <mergeCell ref="B9:E9"/>
    <mergeCell ref="A11:E11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Kapak</vt:lpstr>
      <vt:lpstr>2. LOD-LOQ</vt:lpstr>
      <vt:lpstr>3. Doğrusallık</vt:lpstr>
      <vt:lpstr>4. Tekrarlanabilirlik</vt:lpstr>
      <vt:lpstr>5. Tekrarüretilebilirlik</vt:lpstr>
      <vt:lpstr>6. Gerçeklik</vt:lpstr>
      <vt:lpstr>7. Belirsizlik</vt:lpstr>
      <vt:lpstr>8. Grubbs Tablosu</vt:lpstr>
      <vt:lpstr>9. Eurachem Uygunluk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ÜGD Portal Eurolab</dc:creator>
  <dc:title/>
  <dc:subject/>
  <dc:description/>
  <cp:keywords/>
  <cp:category/>
  <cp:lastModifiedBy>Unknown</cp:lastModifiedBy>
  <dcterms:created xsi:type="dcterms:W3CDTF">2026-05-31T20:38:56Z</dcterms:created>
  <dcterms:modified xsi:type="dcterms:W3CDTF">2026-05-31T20:38:56Z</dcterms:modified>
</cp:coreProperties>
</file>